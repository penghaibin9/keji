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aa6299a32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ea4bd07908c4926"/>
    <x:sheet xmlns:r="http://schemas.openxmlformats.org/officeDocument/2006/relationships" name="明日总表" sheetId="2" r:id="R0bca088ca6654bce"/>
    <x:sheet xmlns:r="http://schemas.openxmlformats.org/officeDocument/2006/relationships" name="统一认证" sheetId="3" r:id="Rd23ed5c809614f23"/>
    <x:sheet xmlns:r="http://schemas.openxmlformats.org/officeDocument/2006/relationships" name="数据中台" sheetId="4" r:id="R20785a416c1647d0"/>
    <x:sheet xmlns:r="http://schemas.openxmlformats.org/officeDocument/2006/relationships" name="湘培直通车" sheetId="5" r:id="Rbde7f825100b422d"/>
    <x:sheet xmlns:r="http://schemas.openxmlformats.org/officeDocument/2006/relationships" name="学校服务器" sheetId="6" r:id="R048a03a72adf4b96"/>
    <x:sheet xmlns:r="http://schemas.openxmlformats.org/officeDocument/2006/relationships" name="剩余工作" sheetId="7" r:id="R5c132e67bf3a4318"/>
    <x:sheet xmlns:r="http://schemas.openxmlformats.org/officeDocument/2006/relationships" name="会议纪要" sheetId="8" r:id="R712c6dae5f654e58"/>
    <x:sheet xmlns:r="http://schemas.openxmlformats.org/officeDocument/2006/relationships" name="资料依据" sheetId="9" r:id="R4847b25233f1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132A4A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2"/>
      <x:color rgb="FF12315B"/>
      <x:name val="Carlito"/>
    </x:font>
    <x:font>
      <x:b/>
      <x:sz val="15"/>
      <x:color rgb="FFFFFFFF"/>
      <x:name val="Carlito"/>
    </x:font>
    <x:font>
      <x:b/>
      <x:sz val="11"/>
      <x:color rgb="FF12315B"/>
      <x:name val="Carlito"/>
    </x:font>
    <x:font>
      <x:b/>
      <x:sz val="11"/>
      <x:color rgb="FF9C0006"/>
      <x:name val="Carlito"/>
    </x:font>
    <x:font>
      <x:b/>
      <x:sz val="11"/>
      <x:color rgb="FF132A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15B"/>
      </x:patternFill>
    </x:fill>
    <x:fill>
      <x:patternFill patternType="solid">
        <x:fgColor rgb="FFEAF2FF"/>
      </x:patternFill>
    </x:fill>
    <x:fill>
      <x:patternFill patternType="solid">
        <x:fgColor rgb="FFFFF2CC"/>
      </x:patternFill>
    </x:fill>
    <x:fill>
      <x:patternFill patternType="solid">
        <x:fgColor rgb="FF1E5BD7"/>
      </x:patternFill>
    </x:fill>
    <x:fill>
      <x:patternFill patternType="solid">
        <x:fgColor rgb="FFFCE8E6"/>
      </x:patternFill>
    </x:fill>
  </x:fills>
  <x:borders count="12">
    <x:border/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  <x:border>
      <x:left style="thin">
        <x:color rgb="FFD8E1EC"/>
      </x:left>
      <x:top style="thin">
        <x:color rgb="FFD8E1EC"/>
      </x:top>
      <x:bottom style="thin">
        <x:color rgb="FFD8E1EC"/>
      </x:bottom>
    </x:border>
    <x:border>
      <x:top style="thin">
        <x:color rgb="FFD8E1EC"/>
      </x:top>
      <x:bottom style="thin">
        <x:color rgb="FFD8E1EC"/>
      </x:bottom>
    </x:border>
    <x:border>
      <x:right style="thin">
        <x:color rgb="FFD8E1EC"/>
      </x:right>
      <x:top style="thin">
        <x:color rgb="FFD8E1EC"/>
      </x:top>
      <x:bottom style="thin">
        <x:color rgb="FFD8E1EC"/>
      </x:bottom>
    </x:border>
    <x:border>
      <x:left style="thin">
        <x:color rgb="FFE6B8B7"/>
      </x:left>
      <x:right style="thin">
        <x:color rgb="FFE6B8B7"/>
      </x:right>
      <x:top style="thin">
        <x:color rgb="FFE6B8B7"/>
      </x:top>
      <x:bottom style="thin">
        <x:color rgb="FFE6B8B7"/>
      </x:bottom>
    </x:border>
    <x:border>
      <x:left style="thin">
        <x:color rgb="FFE6B8B7"/>
      </x:left>
      <x:top style="thin">
        <x:color rgb="FFE6B8B7"/>
      </x:top>
    </x:border>
    <x:border>
      <x:top style="thin">
        <x:color rgb="FFE6B8B7"/>
      </x:top>
    </x:border>
    <x:border>
      <x:right style="thin">
        <x:color rgb="FFE6B8B7"/>
      </x:right>
      <x:top style="thin">
        <x:color rgb="FFE6B8B7"/>
      </x:top>
    </x:border>
    <x:border>
      <x:left style="thin">
        <x:color rgb="FFE6B8B7"/>
      </x:left>
      <x:bottom style="thin">
        <x:color rgb="FFE6B8B7"/>
      </x:bottom>
    </x:border>
    <x:border>
      <x:bottom style="thin">
        <x:color rgb="FFE6B8B7"/>
      </x:bottom>
    </x:border>
    <x:border>
      <x:right style="thin">
        <x:color rgb="FFE6B8B7"/>
      </x:right>
      <x:bottom style="thin">
        <x:color rgb="FFE6B8B7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0" fontId="8" fillId="6" borderId="5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6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af992cf1e43ab" /><Relationship Type="http://schemas.openxmlformats.org/officeDocument/2006/relationships/theme" Target="/xl/theme/theme1.xml" Id="R985a611e27724da0" /><Relationship Type="http://schemas.openxmlformats.org/officeDocument/2006/relationships/sharedStrings" Target="/xl/sharedStrings.xml" Id="R9799c82860a84556" /><Relationship Type="http://schemas.openxmlformats.org/officeDocument/2006/relationships/worksheet" Target="/xl/worksheets/sheet1.xml" Id="R7ea4bd07908c4926" /><Relationship Type="http://schemas.openxmlformats.org/officeDocument/2006/relationships/worksheet" Target="/xl/worksheets/sheet2.xml" Id="R0bca088ca6654bce" /><Relationship Type="http://schemas.openxmlformats.org/officeDocument/2006/relationships/worksheet" Target="/xl/worksheets/sheet3.xml" Id="Rd23ed5c809614f23" /><Relationship Type="http://schemas.openxmlformats.org/officeDocument/2006/relationships/worksheet" Target="/xl/worksheets/sheet4.xml" Id="R20785a416c1647d0" /><Relationship Type="http://schemas.openxmlformats.org/officeDocument/2006/relationships/worksheet" Target="/xl/worksheets/sheet5.xml" Id="Rbde7f825100b422d" /><Relationship Type="http://schemas.openxmlformats.org/officeDocument/2006/relationships/worksheet" Target="/xl/worksheets/sheet6.xml" Id="R048a03a72adf4b96" /><Relationship Type="http://schemas.openxmlformats.org/officeDocument/2006/relationships/worksheet" Target="/xl/worksheets/sheet7.xml" Id="R5c132e67bf3a4318" /><Relationship Type="http://schemas.openxmlformats.org/officeDocument/2006/relationships/worksheet" Target="/xl/worksheets/sheet8.xml" Id="R712c6dae5f654e58" /><Relationship Type="http://schemas.openxmlformats.org/officeDocument/2006/relationships/worksheet" Target="/xl/worksheets/sheet9.xml" Id="R4847b25233f14f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15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明天去学校怎么用这份表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面向非技术负责人：不需要写代码、不需要执行服务器命令，也不要在表格里记录任何真实密码或密钥。</x:v>
      </x:c>
      <x:c r="B2" s="7"/>
      <x:c r="C2" s="7"/>
      <x:c r="D2" s="7"/>
      <x:c r="E2" s="7"/>
      <x:c r="F2" s="7"/>
      <x:c r="G2" s="7"/>
      <x:c r="H2" s="7"/>
    </x:row>
    <x:row r="4" ht="25" customHeight="1">
      <x:c r="A4" s="29" t="str">
        <x:v>你明天只做四件事</x:v>
      </x:c>
      <x:c r="B4" s="30"/>
      <x:c r="C4" s="30"/>
      <x:c r="D4" s="30"/>
      <x:c r="E4" s="30"/>
      <x:c r="F4" s="30"/>
      <x:c r="G4" s="30"/>
      <x:c r="H4" s="31"/>
    </x:row>
    <x:row r="6" ht="44" customHeight="1">
      <x:c r="A6" s="38" t="str">
        <x:v>1</x:v>
      </x:c>
      <x:c r="B6" s="40" t="str">
        <x:v>先确定负责人</x:v>
      </x:c>
      <x:c r="C6" s="34" t="str">
        <x:v>请学校分别指定：统一认证、数据中台、湘培直通车、服务器/网络、业务验收负责人。</x:v>
      </x:c>
      <x:c r="D6" s="34"/>
      <x:c r="E6" s="34"/>
      <x:c r="F6" s="34"/>
      <x:c r="G6" s="34"/>
      <x:c r="H6" s="34"/>
    </x:row>
    <x:row r="7" ht="44" customHeight="1">
      <x:c r="A7" s="38" t="str">
        <x:v>2</x:v>
      </x:c>
      <x:c r="B7" s="40" t="str">
        <x:v>按三张接口表提问</x:v>
      </x:c>
      <x:c r="C7" s="34" t="str">
        <x:v>优先处理标记为“必拿”的项目；能给文件就登记文件名，只口头答复就选择“仅口头确认”。</x:v>
      </x:c>
      <x:c r="D7" s="34"/>
      <x:c r="E7" s="34"/>
      <x:c r="F7" s="34"/>
      <x:c r="G7" s="34"/>
      <x:c r="H7" s="34"/>
    </x:row>
    <x:row r="8" ht="44" customHeight="1">
      <x:c r="A8" s="38" t="str">
        <x:v>3</x:v>
      </x:c>
      <x:c r="B8" s="40" t="str">
        <x:v>确认服务器条件</x:v>
      </x:c>
      <x:c r="C8" s="34" t="str">
        <x:v>请服务器管理员填写“学校服务器”页。你不需要现场登录服务器，也不要拿共享管理员密码。</x:v>
      </x:c>
      <x:c r="D8" s="34"/>
      <x:c r="E8" s="34"/>
      <x:c r="F8" s="34"/>
      <x:c r="G8" s="34"/>
      <x:c r="H8" s="34"/>
    </x:row>
    <x:row r="9" ht="44" customHeight="1">
      <x:c r="A9" s="38" t="str">
        <x:v>4</x:v>
      </x:c>
      <x:c r="B9" s="40" t="str">
        <x:v>会后整理交接</x:v>
      </x:c>
      <x:c r="C9" s="34" t="str">
        <x:v>把拿到的文档和本表放在受控项目目录；真实密钥让学校服务器管理员后续直接配置。</x:v>
      </x:c>
      <x:c r="D9" s="34"/>
      <x:c r="E9" s="34"/>
      <x:c r="F9" s="34"/>
      <x:c r="G9" s="34"/>
      <x:c r="H9" s="34"/>
    </x:row>
    <x:row r="11" ht="25" customHeight="1">
      <x:c r="A11" s="29" t="str">
        <x:v>绝对不要做</x:v>
      </x:c>
      <x:c r="B11" s="30"/>
      <x:c r="C11" s="30"/>
      <x:c r="D11" s="30"/>
      <x:c r="E11" s="30"/>
      <x:c r="F11" s="30"/>
      <x:c r="G11" s="30"/>
      <x:c r="H11" s="31"/>
    </x:row>
    <x:row r="13" ht="36" customHeight="1">
      <x:c r="A13" s="45" t="str">
        <x:v>不要把密码、令牌、应用密钥、私钥写进表格。</x:v>
      </x:c>
      <x:c r="B13" s="45" t="str"/>
      <x:c r="C13" s="45" t="str"/>
      <x:c r="D13" s="45" t="str"/>
      <x:c r="E13" s="45" t="str">
        <x:v>不要用公开新闻或口头说明冒充正式接口文档。</x:v>
      </x:c>
      <x:c r="F13" s="45" t="str"/>
      <x:c r="G13" s="45" t="str"/>
      <x:c r="H13" s="45" t="str"/>
    </x:row>
    <x:row r="14" ht="36" customHeight="1">
      <x:c r="A14" s="45" t="str">
        <x:v>不要让外部系统返回的“管理员”直接取得本系统管理员权限。</x:v>
      </x:c>
      <x:c r="B14" s="45" t="str"/>
      <x:c r="C14" s="45" t="str"/>
      <x:c r="D14" s="45" t="str"/>
      <x:c r="E14" s="45" t="str">
        <x:v>不要在没有备份和回退路径时直接覆盖学校正式系统。</x:v>
      </x:c>
      <x:c r="F14" s="45" t="str"/>
      <x:c r="G14" s="45" t="str"/>
      <x:c r="H14" s="45" t="str"/>
    </x:row>
    <x:row r="15" ht="36" customHeight="1">
      <x:c r="A15" s="45" t="str">
        <x:v>不要为通过联调关闭证书校验、安全校验或网络限制。</x:v>
      </x:c>
      <x:c r="B15" s="45" t="str"/>
      <x:c r="C15" s="45" t="str"/>
      <x:c r="D15" s="45" t="str"/>
      <x:c r="E15" s="45" t="str">
        <x:v>不要把测试成功写成正式验收通过。</x:v>
      </x:c>
      <x:c r="F15" s="45" t="str"/>
      <x:c r="G15" s="45" t="str"/>
      <x:c r="H15" s="45" t="str"/>
    </x:row>
    <x:row r="16" ht="36" customHeight="1">
      <x:c r="A16" s="45" t="str">
        <x:v>不要自行对学校生产服务器做高并发压力测试。</x:v>
      </x:c>
      <x:c r="B16" s="45" t="str"/>
      <x:c r="C16" s="45" t="str"/>
      <x:c r="D16" s="45" t="str"/>
      <x:c r="E16" s="45" t="str">
        <x:v>不要删除或覆盖现有业务数据。</x:v>
      </x:c>
      <x:c r="F16" s="45" t="str"/>
      <x:c r="G16" s="45" t="str"/>
      <x:c r="H16" s="45" t="str"/>
    </x:row>
    <x:row r="18" ht="25" customHeight="1">
      <x:c r="A18" s="29" t="str">
        <x:v>会后由谁做什么</x:v>
      </x:c>
      <x:c r="B18" s="30"/>
      <x:c r="C18" s="30"/>
      <x:c r="D18" s="30"/>
      <x:c r="E18" s="30"/>
      <x:c r="F18" s="30"/>
      <x:c r="G18" s="30"/>
      <x:c r="H18" s="31"/>
    </x:row>
    <x:row r="20" ht="36" customHeight="1">
      <x:c r="A20" s="48" t="str">
        <x:v>学校接口负责人</x:v>
      </x:c>
      <x:c r="B20" s="46" t="str">
        <x:v>提供正式文档、字段字典、脱敏样例、测试账号与联调窗口</x:v>
      </x:c>
      <x:c r="C20" s="46" t="str"/>
      <x:c r="D20" s="46" t="str"/>
      <x:c r="E20" s="46" t="str"/>
      <x:c r="F20" s="46" t="str"/>
      <x:c r="G20" s="46" t="str"/>
      <x:c r="H20" s="46" t="str"/>
    </x:row>
    <x:row r="21" ht="36" customHeight="1">
      <x:c r="A21" s="48" t="str">
        <x:v>学校服务器管理员</x:v>
      </x:c>
      <x:c r="B21" s="46" t="str">
        <x:v>准备服务器、数据库、域名证书、网络白名单、备份与安全凭据配置</x:v>
      </x:c>
      <x:c r="C21" s="46" t="str"/>
      <x:c r="D21" s="46" t="str"/>
      <x:c r="E21" s="46" t="str"/>
      <x:c r="F21" s="46" t="str"/>
      <x:c r="G21" s="46" t="str"/>
      <x:c r="H21" s="46" t="str"/>
    </x:row>
    <x:row r="22" ht="36" customHeight="1">
      <x:c r="A22" s="48" t="str">
        <x:v>学校业务负责人</x:v>
      </x:c>
      <x:c r="B22" s="46" t="str">
        <x:v>确认字段含义、数据口径、权限范围与验收结果</x:v>
      </x:c>
      <x:c r="C22" s="46" t="str"/>
      <x:c r="D22" s="46" t="str"/>
      <x:c r="E22" s="46" t="str"/>
      <x:c r="F22" s="46" t="str"/>
      <x:c r="G22" s="46" t="str"/>
      <x:c r="H22" s="46" t="str"/>
    </x:row>
    <x:row r="23" ht="36" customHeight="1">
      <x:c r="A23" s="48" t="str">
        <x:v>我方实施</x:v>
      </x:c>
      <x:c r="B23" s="46" t="str">
        <x:v>按正式资料配置、部署、联调、留痕、验证和提供回退方案</x:v>
      </x:c>
      <x:c r="C23" s="46" t="str"/>
      <x:c r="D23" s="46" t="str"/>
      <x:c r="E23" s="46" t="str"/>
      <x:c r="F23" s="46" t="str"/>
      <x:c r="G23" s="46" t="str"/>
      <x:c r="H23" s="46" t="str"/>
    </x:row>
    <x:row r="24" ht="36" customHeight="1">
      <x:c r="A24" s="48" t="str">
        <x:v>你（项目负责人）</x:v>
      </x:c>
      <x:c r="B24" s="46" t="str">
        <x:v>协调人员、收齐资料、确认时间和签字；不承担服务器命令和技术排错</x:v>
      </x:c>
      <x:c r="C24" s="46" t="str"/>
      <x:c r="D24" s="46" t="str"/>
      <x:c r="E24" s="46" t="str"/>
      <x:c r="F24" s="46" t="str"/>
      <x:c r="G24" s="46" t="str"/>
      <x:c r="H24" s="46" t="str"/>
    </x:row>
  </x:sheetData>
  <x:mergeCells>
    <x:mergeCell ref="A1:H1"/>
    <x:mergeCell ref="A2:H2"/>
    <x:mergeCell ref="A4:H4"/>
    <x:mergeCell ref="C6:H6"/>
    <x:mergeCell ref="C7:H7"/>
    <x:mergeCell ref="C8:H8"/>
    <x:mergeCell ref="C9:H9"/>
    <x:mergeCell ref="A11:H11"/>
    <x:mergeCell ref="A13:D13"/>
    <x:mergeCell ref="E13:H13"/>
    <x:mergeCell ref="A14:D14"/>
    <x:mergeCell ref="E14:H14"/>
    <x:mergeCell ref="A15:D15"/>
    <x:mergeCell ref="E15:H15"/>
    <x:mergeCell ref="A16:D16"/>
    <x:mergeCell ref="E16:H16"/>
    <x:mergeCell ref="A18:H18"/>
    <x:mergeCell ref="B20:H20"/>
    <x:mergeCell ref="B21:H21"/>
    <x:mergeCell ref="B22:H22"/>
    <x:mergeCell ref="B23:H23"/>
    <x:mergeCell ref="B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2315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2" hidden="0" customWidth="1"/>
    <x:col min="4" max="4" width="11" hidden="0" customWidth="1"/>
    <x:col min="5" max="5" width="13" hidden="0" customWidth="1"/>
    <x:col min="6" max="6" width="12" hidden="0" customWidth="1"/>
    <x:col min="7" max="7" width="11" hidden="0" customWidth="1"/>
    <x:col min="8" max="8" width="18" hidden="0" customWidth="1"/>
    <x:col min="9" max="9" width="20" hidden="0" customWidth="1"/>
    <x:col min="10" max="10" width="24" hidden="0" customWidth="1"/>
  </x:cols>
  <x:sheetData>
    <x:row r="1" ht="34" customHeight="1">
      <x:c r="A1" s="3" t="str">
        <x:v>三大接口与学校服务器现场总表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先看本页，再进入各清单。系统已经具备配置入口和适配框架，但三大接口均没有正式资料、凭据和真实联调证据。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5" customHeight="1">
      <x:c r="A4" s="29" t="str">
        <x:v>当前真实状态</x:v>
      </x:c>
      <x:c r="B4" s="30"/>
      <x:c r="C4" s="30"/>
      <x:c r="D4" s="30"/>
      <x:c r="E4" s="30"/>
      <x:c r="F4" s="30"/>
      <x:c r="G4" s="30"/>
      <x:c r="H4" s="30"/>
      <x:c r="I4" s="30"/>
      <x:c r="J4" s="31"/>
    </x:row>
    <x:row r="6">
      <x:c r="A6" s="17" t="str">
        <x:v>事项</x:v>
      </x:c>
      <x:c r="B6" s="17" t="str">
        <x:v>系统提前准备</x:v>
      </x:c>
      <x:c r="C6" s="17" t="str">
        <x:v>资料项总数</x:v>
      </x:c>
      <x:c r="D6" s="17" t="str">
        <x:v>已拿到</x:v>
      </x:c>
      <x:c r="E6" s="17" t="str">
        <x:v>仅口头确认</x:v>
      </x:c>
      <x:c r="F6" s="17" t="str">
        <x:v>仍需补充</x:v>
      </x:c>
      <x:c r="G6" s="17" t="str">
        <x:v>完成率</x:v>
      </x:c>
      <x:c r="H6" s="17" t="str">
        <x:v>当前结论</x:v>
      </x:c>
      <x:c r="I6" s="17" t="str">
        <x:v>明天负责人</x:v>
      </x:c>
      <x:c r="J6" s="17" t="str">
        <x:v>备注</x:v>
      </x:c>
    </x:row>
    <x:row r="7" ht="38" customHeight="1">
      <x:c r="A7" s="46" t="str">
        <x:v>统一认证</x:v>
      </x:c>
      <x:c r="B7" s="46" t="str">
        <x:v>配置界面/安全边界已准备</x:v>
      </x:c>
      <x:c r="C7" s="46" t="n">
        <x:f>COUNTA('统一认证'!$C$7:$C$34)</x:f>
        <x:v>28</x:v>
      </x:c>
      <x:c r="D7" s="46" t="n">
        <x:f>COUNTIFS('统一认证'!$G$7:$G$34,"已拿到")</x:f>
        <x:v>0</x:v>
      </x:c>
      <x:c r="E7" s="46" t="n">
        <x:f>COUNTIFS('统一认证'!$G$7:$G$34,"仅口头确认")</x:f>
        <x:v>0</x:v>
      </x:c>
      <x:c r="F7" s="46" t="n">
        <x:f>COUNTIFS('统一认证'!$G$7:$G$34,"未询问")+COUNTIFS('统一认证'!$G$7:$G$34,"对方补充")</x:f>
        <x:v>28</x:v>
      </x:c>
      <x:c r="G7" s="50" t="n">
        <x:f>IF(C7=0,0,D7/C7)</x:f>
        <x:v>0</x:v>
      </x:c>
      <x:c r="H7" s="46" t="str">
        <x:v>待对接</x:v>
      </x:c>
      <x:c r="I7" s="49" t="str"/>
      <x:c r="J7" s="49" t="str"/>
    </x:row>
    <x:row r="8" ht="38" customHeight="1">
      <x:c r="A8" s="46" t="str">
        <x:v>数据中台</x:v>
      </x:c>
      <x:c r="B8" s="46" t="str">
        <x:v>配置界面/安全边界已准备</x:v>
      </x:c>
      <x:c r="C8" s="46" t="n">
        <x:f>COUNTA('数据中台'!$C$7:$C$47)</x:f>
        <x:v>41</x:v>
      </x:c>
      <x:c r="D8" s="46" t="n">
        <x:f>COUNTIFS('数据中台'!$G$7:$G$47,"已拿到")</x:f>
        <x:v>0</x:v>
      </x:c>
      <x:c r="E8" s="46" t="n">
        <x:f>COUNTIFS('数据中台'!$G$7:$G$47,"仅口头确认")</x:f>
        <x:v>0</x:v>
      </x:c>
      <x:c r="F8" s="46" t="n">
        <x:f>COUNTIFS('数据中台'!$G$7:$G$47,"未询问")+COUNTIFS('数据中台'!$G$7:$G$47,"对方补充")</x:f>
        <x:v>41</x:v>
      </x:c>
      <x:c r="G8" s="50" t="n">
        <x:f>IF(C8=0,0,D8/C8)</x:f>
        <x:v>0</x:v>
      </x:c>
      <x:c r="H8" s="46" t="str">
        <x:v>待对接</x:v>
      </x:c>
      <x:c r="I8" s="49" t="str"/>
      <x:c r="J8" s="49" t="str"/>
    </x:row>
    <x:row r="9" ht="38" customHeight="1">
      <x:c r="A9" s="46" t="str">
        <x:v>湘培直通车</x:v>
      </x:c>
      <x:c r="B9" s="46" t="str">
        <x:v>配置界面/安全边界已准备</x:v>
      </x:c>
      <x:c r="C9" s="46" t="n">
        <x:f>COUNTA('湘培直通车'!$C$7:$C$50)</x:f>
        <x:v>44</x:v>
      </x:c>
      <x:c r="D9" s="46" t="n">
        <x:f>COUNTIFS('湘培直通车'!$G$7:$G$50,"已拿到")</x:f>
        <x:v>0</x:v>
      </x:c>
      <x:c r="E9" s="46" t="n">
        <x:f>COUNTIFS('湘培直通车'!$G$7:$G$50,"仅口头确认")</x:f>
        <x:v>0</x:v>
      </x:c>
      <x:c r="F9" s="46" t="n">
        <x:f>COUNTIFS('湘培直通车'!$G$7:$G$50,"未询问")+COUNTIFS('湘培直通车'!$G$7:$G$50,"对方补充")</x:f>
        <x:v>44</x:v>
      </x:c>
      <x:c r="G9" s="50" t="n">
        <x:f>IF(C9=0,0,D9/C9)</x:f>
        <x:v>0</x:v>
      </x:c>
      <x:c r="H9" s="46" t="str">
        <x:v>待对接</x:v>
      </x:c>
      <x:c r="I9" s="49" t="str"/>
      <x:c r="J9" s="49" t="str"/>
    </x:row>
    <x:row r="10" ht="38" customHeight="1">
      <x:c r="A10" s="46" t="str">
        <x:v>学校服务器部署</x:v>
      </x:c>
      <x:c r="B10" s="46" t="str">
        <x:v>配置界面/安全边界已准备</x:v>
      </x:c>
      <x:c r="C10" s="46" t="n">
        <x:f>COUNTA('学校服务器'!$C$7:$C$44)</x:f>
        <x:v>38</x:v>
      </x:c>
      <x:c r="D10" s="46" t="n">
        <x:f>COUNTIFS('学校服务器'!$G$7:$G$44,"已拿到")</x:f>
        <x:v>0</x:v>
      </x:c>
      <x:c r="E10" s="46" t="n">
        <x:f>COUNTIFS('学校服务器'!$G$7:$G$44,"仅口头确认")</x:f>
        <x:v>0</x:v>
      </x:c>
      <x:c r="F10" s="46" t="n">
        <x:f>COUNTIFS('学校服务器'!$G$7:$G$44,"未询问")+COUNTIFS('学校服务器'!$G$7:$G$44,"对方补充")</x:f>
        <x:v>38</x:v>
      </x:c>
      <x:c r="G10" s="50" t="n">
        <x:f>IF(C10=0,0,D10/C10)</x:f>
        <x:v>0</x:v>
      </x:c>
      <x:c r="H10" s="46" t="str">
        <x:v>待学校确认环境</x:v>
      </x:c>
      <x:c r="I10" s="49" t="str"/>
      <x:c r="J10" s="49" t="str"/>
    </x:row>
    <x:row r="12" ht="25" customHeight="1">
      <x:c r="A12" s="29" t="str">
        <x:v>明天优先拿到的十二项</x:v>
      </x:c>
      <x:c r="B12" s="30"/>
      <x:c r="C12" s="30"/>
      <x:c r="D12" s="30"/>
      <x:c r="E12" s="30"/>
      <x:c r="F12" s="30"/>
      <x:c r="G12" s="30"/>
      <x:c r="H12" s="30"/>
      <x:c r="I12" s="30"/>
      <x:c r="J12" s="31"/>
    </x:row>
    <x:row r="14" ht="34" customHeight="1">
      <x:c r="A14" s="17" t="n">
        <x:v>1</x:v>
      </x:c>
      <x:c r="B14" s="53" t="str">
        <x:v>三类接口正式技术文档和版本</x:v>
      </x:c>
      <x:c r="C14" s="46" t="str">
        <x:v>三个接口负责人</x:v>
      </x:c>
    </x:row>
    <x:row r="15" ht="34" customHeight="1">
      <x:c r="A15" s="17" t="n">
        <x:v>2</x:v>
      </x:c>
      <x:c r="B15" s="53" t="str">
        <x:v>测试与正式环境地址、网络方向和白名单要求</x:v>
      </x:c>
      <x:c r="C15" s="46" t="str">
        <x:v>接口负责人 + 网络管理员</x:v>
      </x:c>
    </x:row>
    <x:row r="16" ht="34" customHeight="1">
      <x:c r="A16" s="17" t="n">
        <x:v>3</x:v>
      </x:c>
      <x:c r="B16" s="53" t="str">
        <x:v>统一认证协议、回调登记和稳定身份字段</x:v>
      </x:c>
      <x:c r="C16" s="46" t="str">
        <x:v>统一认证负责人</x:v>
      </x:c>
    </x:row>
    <x:row r="17" ht="34" customHeight="1">
      <x:c r="A17" s="17" t="n">
        <x:v>4</x:v>
      </x:c>
      <x:c r="B17" s="53" t="str">
        <x:v>统一认证四类测试账号：正常、停用、调岗、兼岗</x:v>
      </x:c>
      <x:c r="C17" s="46" t="str">
        <x:v>统一认证负责人</x:v>
      </x:c>
    </x:row>
    <x:row r="18" ht="34" customHeight="1">
      <x:c r="A18" s="17" t="n">
        <x:v>5</x:v>
      </x:c>
      <x:c r="B18" s="53" t="str">
        <x:v>数据中台五类接口清单、字段字典和唯一编号</x:v>
      </x:c>
      <x:c r="C18" s="46" t="str">
        <x:v>数据中台负责人</x:v>
      </x:c>
    </x:row>
    <x:row r="19" ht="34" customHeight="1">
      <x:c r="A19" s="17" t="n">
        <x:v>6</x:v>
      </x:c>
      <x:c r="B19" s="53" t="str">
        <x:v>数据中台分页、增量、成功码、错误码和脱敏样例</x:v>
      </x:c>
      <x:c r="C19" s="46" t="str">
        <x:v>数据中台负责人</x:v>
      </x:c>
    </x:row>
    <x:row r="20" ht="34" customHeight="1">
      <x:c r="A20" s="17" t="n">
        <x:v>7</x:v>
      </x:c>
      <x:c r="B20" s="53" t="str">
        <x:v>湘培直通车机构编码、应用标识、签名和回执规则</x:v>
      </x:c>
      <x:c r="C20" s="46" t="str">
        <x:v>省平台/学校接口负责人</x:v>
      </x:c>
    </x:row>
    <x:row r="21" ht="34" customHeight="1">
      <x:c r="A21" s="17" t="n">
        <x:v>8</x:v>
      </x:c>
      <x:c r="B21" s="53" t="str">
        <x:v>湘培直通车十一类字段字典、正常与异常样例</x:v>
      </x:c>
      <x:c r="C21" s="46" t="str">
        <x:v>省平台/学校接口负责人</x:v>
      </x:c>
    </x:row>
    <x:row r="22" ht="34" customHeight="1">
      <x:c r="A22" s="17" t="n">
        <x:v>9</x:v>
      </x:c>
      <x:c r="B22" s="53" t="str">
        <x:v>学校服务器、数据库、域名证书和部署维护负责人</x:v>
      </x:c>
      <x:c r="C22" s="46" t="str">
        <x:v>信息中心/服务器管理员</x:v>
      </x:c>
    </x:row>
    <x:row r="23" ht="34" customHeight="1">
      <x:c r="A23" s="17" t="n">
        <x:v>10</x:v>
      </x:c>
      <x:c r="B23" s="53" t="str">
        <x:v>三类接口出站网络、固定出口地址和端口</x:v>
      </x:c>
      <x:c r="C23" s="46" t="str">
        <x:v>网络安全负责人</x:v>
      </x:c>
    </x:row>
    <x:row r="24" ht="34" customHeight="1">
      <x:c r="A24" s="17" t="n">
        <x:v>11</x:v>
      </x:c>
      <x:c r="B24" s="53" t="str">
        <x:v>密钥安全交付人和服务器配置方式（不收明文）</x:v>
      </x:c>
      <x:c r="C24" s="46" t="str">
        <x:v>服务器管理员 + 接口负责人</x:v>
      </x:c>
    </x:row>
    <x:row r="25" ht="34" customHeight="1">
      <x:c r="A25" s="17" t="n">
        <x:v>12</x:v>
      </x:c>
      <x:c r="B25" s="53" t="str">
        <x:v>联调窗口、验收场景、业务核对人与签字人</x:v>
      </x:c>
      <x:c r="C25" s="46" t="str">
        <x:v>项目负责人 + 业务部门</x:v>
      </x:c>
    </x:row>
    <x:row r="27" ht="25" customHeight="1">
      <x:c r="A27" s="29" t="str">
        <x:v>没有这些资料时必须保持的状态</x:v>
      </x:c>
      <x:c r="B27" s="30"/>
      <x:c r="C27" s="30"/>
      <x:c r="D27" s="30"/>
      <x:c r="E27" s="30"/>
      <x:c r="F27" s="30"/>
      <x:c r="G27" s="30"/>
      <x:c r="H27" s="30"/>
      <x:c r="I27" s="30"/>
      <x:c r="J27" s="31"/>
    </x:row>
    <x:row r="29">
      <x:c r="A29" s="66" t="str">
        <x:v>统一认证、数据中台、湘培直通车继续显示“待对接”。本地页面可演示、本地业务可办理，不等于学校接口已连接或已验收。只有拿到正式资料、由学校服务器管理员配置凭据、完成真实联调并取得双方可核对结果后，才允许进入启用流程。</x:v>
      </x:c>
      <x:c r="B29" s="67"/>
      <x:c r="C29" s="67"/>
      <x:c r="D29" s="67"/>
      <x:c r="E29" s="67"/>
      <x:c r="F29" s="67"/>
      <x:c r="G29" s="67"/>
      <x:c r="H29" s="67"/>
      <x:c r="I29" s="67"/>
      <x:c r="J29" s="68"/>
    </x:row>
    <x:row r="30">
      <x:c r="A30" s="69"/>
      <x:c r="B30" s="70"/>
      <x:c r="C30" s="70"/>
      <x:c r="D30" s="70"/>
      <x:c r="E30" s="70"/>
      <x:c r="F30" s="70"/>
      <x:c r="G30" s="70"/>
      <x:c r="H30" s="70"/>
      <x:c r="I30" s="70"/>
      <x:c r="J30" s="71"/>
    </x:row>
  </x:sheetData>
  <x:mergeCells>
    <x:mergeCell ref="A1:J1"/>
    <x:mergeCell ref="A2:J2"/>
    <x:mergeCell ref="A4:J4"/>
    <x:mergeCell ref="A12:J12"/>
    <x:mergeCell ref="A27:J27"/>
    <x:mergeCell ref="A29:J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E5BD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8" hidden="0" customWidth="1"/>
    <x:col min="3" max="3" width="21" hidden="0" customWidth="1"/>
    <x:col min="4" max="4" width="30" hidden="0" customWidth="1"/>
    <x:col min="5" max="5" width="26" hidden="0" customWidth="1"/>
    <x:col min="6" max="6" width="24" hidden="0" customWidth="1"/>
    <x:col min="7" max="7" width="13" hidden="0" customWidth="1"/>
    <x:col min="8" max="8" width="16" hidden="0" customWidth="1"/>
    <x:col min="9" max="9" width="26" hidden="0" customWidth="1"/>
    <x:col min="10" max="10" width="22" hidden="0" customWidth="1"/>
    <x:col min="11" max="11" width="14" hidden="0" customWidth="1"/>
    <x:col min="12" max="12" width="25" hidden="0" customWidth="1"/>
  </x:cols>
  <x:sheetData>
    <x:row r="1" ht="34" customHeight="1">
      <x:c r="A1" s="3" t="str">
        <x:v>学校统一身份认证资料清单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目标：确认人员身份；本系统仍按本地角色、组织和数据范围决定能看什么。当前只能保持“待对接”。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1" customHeight="1">
      <x:c r="A4" s="11" t="str">
        <x:v>填写规则：黄色列现场填写；真实密码、令牌、密钥、私钥禁止写入本表，只记录安全交付人和交付方式。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6" ht="32" customHeight="1">
      <x:c r="A6" s="17" t="str">
        <x:v>序号</x:v>
      </x:c>
      <x:c r="B6" s="17" t="str">
        <x:v>优先级</x:v>
      </x:c>
      <x:c r="C6" s="17" t="str">
        <x:v>资料或问题</x:v>
      </x:c>
      <x:c r="D6" s="17" t="str">
        <x:v>明天现场怎么问</x:v>
      </x:c>
      <x:c r="E6" s="17" t="str">
        <x:v>学校需提供或确认</x:v>
      </x:c>
      <x:c r="F6" s="17" t="str">
        <x:v>现场答复（可填写）</x:v>
      </x:c>
      <x:c r="G6" s="17" t="str">
        <x:v>当前状态</x:v>
      </x:c>
      <x:c r="H6" s="17" t="str">
        <x:v>学校责任人</x:v>
      </x:c>
      <x:c r="I6" s="17" t="str">
        <x:v>后续填到哪里或用于什么</x:v>
      </x:c>
      <x:c r="J6" s="17" t="str">
        <x:v>证据文件名或备注</x:v>
      </x:c>
      <x:c r="K6" s="17" t="str">
        <x:v>计划完成日期</x:v>
      </x:c>
      <x:c r="L6" s="17" t="str">
        <x:v>验证标准</x:v>
      </x:c>
    </x:row>
    <x:row r="7" ht="56" customHeight="1">
      <x:c r="A7" s="22" t="n">
        <x:v>1</x:v>
      </x:c>
      <x:c r="B7" s="22" t="str">
        <x:v>必拿</x:v>
      </x:c>
      <x:c r="C7" s="21" t="str">
        <x:v>正式接口文档与协议版本</x:v>
      </x:c>
      <x:c r="D7" s="21" t="str">
        <x:v>请确认学校统一认证采用哪种协议、具体版本，由哪个厂商维护？</x:v>
      </x:c>
      <x:c r="E7" s="21" t="str">
        <x:v>盖章或可追溯的正式技术文档、版本号、厂商与负责人</x:v>
      </x:c>
      <x:c r="F7" s="23" t="str"/>
      <x:c r="G7" s="23" t="str">
        <x:v>未询问</x:v>
      </x:c>
      <x:c r="H7" s="23" t="str"/>
      <x:c r="I7" s="21" t="str">
        <x:v>统一认证 &gt; 基础参数</x:v>
      </x:c>
      <x:c r="J7" s="23" t="str"/>
      <x:c r="K7" s="24" t="str"/>
      <x:c r="L7" s="21" t="str">
        <x:v>协议类型、版本和责任方明确</x:v>
      </x:c>
    </x:row>
    <x:row r="8" ht="56" customHeight="1">
      <x:c r="A8" s="22" t="n">
        <x:v>2</x:v>
      </x:c>
      <x:c r="B8" s="22" t="str">
        <x:v>必拿</x:v>
      </x:c>
      <x:c r="C8" s="21" t="str">
        <x:v>测试环境地址</x:v>
      </x:c>
      <x:c r="D8" s="21" t="str">
        <x:v>请提供可从学校服务器访问的测试认证地址。</x:v>
      </x:c>
      <x:c r="E8" s="21" t="str">
        <x:v>测试环境固定安全地址，不含账号或密钥</x:v>
      </x:c>
      <x:c r="F8" s="23" t="str"/>
      <x:c r="G8" s="23" t="str">
        <x:v>未询问</x:v>
      </x:c>
      <x:c r="H8" s="23" t="str"/>
      <x:c r="I8" s="21" t="str">
        <x:v>统一认证 &gt; 对方系统地址</x:v>
      </x:c>
      <x:c r="J8" s="23" t="str"/>
      <x:c r="K8" s="24" t="str"/>
      <x:c r="L8" s="21" t="str">
        <x:v>从目标网络可访问且证书有效</x:v>
      </x:c>
    </x:row>
    <x:row r="9" ht="56" customHeight="1">
      <x:c r="A9" s="22" t="n">
        <x:v>3</x:v>
      </x:c>
      <x:c r="B9" s="22" t="str">
        <x:v>必拿</x:v>
      </x:c>
      <x:c r="C9" s="21" t="str">
        <x:v>正式环境地址</x:v>
      </x:c>
      <x:c r="D9" s="21" t="str">
        <x:v>请提供正式认证地址和计划启用日期。</x:v>
      </x:c>
      <x:c r="E9" s="21" t="str">
        <x:v>正式环境固定安全地址、启用窗口</x:v>
      </x:c>
      <x:c r="F9" s="23" t="str"/>
      <x:c r="G9" s="23" t="str">
        <x:v>未询问</x:v>
      </x:c>
      <x:c r="H9" s="23" t="str"/>
      <x:c r="I9" s="21" t="str">
        <x:v>统一认证 &gt; 对方系统地址</x:v>
      </x:c>
      <x:c r="J9" s="23" t="str"/>
      <x:c r="K9" s="24" t="str"/>
      <x:c r="L9" s="21" t="str">
        <x:v>地址已登记，未提前启用</x:v>
      </x:c>
    </x:row>
    <x:row r="10" ht="56" customHeight="1">
      <x:c r="A10" s="22" t="n">
        <x:v>4</x:v>
      </x:c>
      <x:c r="B10" s="22" t="str">
        <x:v>必拿</x:v>
      </x:c>
      <x:c r="C10" s="21" t="str">
        <x:v>应用登记信息</x:v>
      </x:c>
      <x:c r="D10" s="21" t="str">
        <x:v>学校需要我们提交哪些系统名称、域名、回调地址和联系人？</x:v>
      </x:c>
      <x:c r="E10" s="21" t="str">
        <x:v>应用登记表、学校分配的应用编号</x:v>
      </x:c>
      <x:c r="F10" s="23" t="str"/>
      <x:c r="G10" s="23" t="str">
        <x:v>未询问</x:v>
      </x:c>
      <x:c r="H10" s="23" t="str"/>
      <x:c r="I10" s="21" t="str">
        <x:v>统一认证 &gt; 应用与回调</x:v>
      </x:c>
      <x:c r="J10" s="23" t="str"/>
      <x:c r="K10" s="24" t="str"/>
      <x:c r="L10" s="21" t="str">
        <x:v>学校侧应用登记完成</x:v>
      </x:c>
    </x:row>
    <x:row r="11" ht="56" customHeight="1">
      <x:c r="A11" s="22" t="n">
        <x:v>5</x:v>
      </x:c>
      <x:c r="B11" s="22" t="str">
        <x:v>必拿</x:v>
      </x:c>
      <x:c r="C11" s="21" t="str">
        <x:v>登录回调地址规则</x:v>
      </x:c>
      <x:c r="D11" s="21" t="str">
        <x:v>回调地址是否要求精确匹配？测试与正式地址分别是什么？</x:v>
      </x:c>
      <x:c r="E11" s="21" t="str">
        <x:v>允许的完整回调地址列表</x:v>
      </x:c>
      <x:c r="F11" s="23" t="str"/>
      <x:c r="G11" s="23" t="str">
        <x:v>未询问</x:v>
      </x:c>
      <x:c r="H11" s="23" t="str"/>
      <x:c r="I11" s="21" t="str">
        <x:v>统一认证 &gt; 回调地址</x:v>
      </x:c>
      <x:c r="J11" s="23" t="str"/>
      <x:c r="K11" s="24" t="str"/>
      <x:c r="L11" s="21" t="str">
        <x:v>仅允许登记地址，不能任意跳转</x:v>
      </x:c>
    </x:row>
    <x:row r="12" ht="56" customHeight="1">
      <x:c r="A12" s="22" t="n">
        <x:v>6</x:v>
      </x:c>
      <x:c r="B12" s="22" t="str">
        <x:v>重要</x:v>
      </x:c>
      <x:c r="C12" s="21" t="str">
        <x:v>退出与单点退出</x:v>
      </x:c>
      <x:c r="D12" s="21" t="str">
        <x:v>学校要求仅退出本系统，还是同时退出统一认证？</x:v>
      </x:c>
      <x:c r="E12" s="21" t="str">
        <x:v>退出地址、退出后返回地址、单点退出通知规则</x:v>
      </x:c>
      <x:c r="F12" s="23" t="str"/>
      <x:c r="G12" s="23" t="str">
        <x:v>未询问</x:v>
      </x:c>
      <x:c r="H12" s="23" t="str"/>
      <x:c r="I12" s="21" t="str">
        <x:v>统一认证 &gt; 退出配置</x:v>
      </x:c>
      <x:c r="J12" s="23" t="str"/>
      <x:c r="K12" s="24" t="str"/>
      <x:c r="L12" s="21" t="str">
        <x:v>退出流程可验证且不造成循环跳转</x:v>
      </x:c>
    </x:row>
    <x:row r="13" ht="56" customHeight="1">
      <x:c r="A13" s="22" t="n">
        <x:v>7</x:v>
      </x:c>
      <x:c r="B13" s="22" t="str">
        <x:v>必拿</x:v>
      </x:c>
      <x:c r="C13" s="21" t="str">
        <x:v>认证入口和校验入口</x:v>
      </x:c>
      <x:c r="D13" s="21" t="str">
        <x:v>请分别指出登录、授权、票据校验、令牌交换、用户信息等地址。</x:v>
      </x:c>
      <x:c r="E13" s="21" t="str">
        <x:v>适用于所选协议的全部入口及请求方式</x:v>
      </x:c>
      <x:c r="F13" s="23" t="str"/>
      <x:c r="G13" s="23" t="str">
        <x:v>未询问</x:v>
      </x:c>
      <x:c r="H13" s="23" t="str"/>
      <x:c r="I13" s="21" t="str">
        <x:v>统一认证 &gt; 协议与页面地址</x:v>
      </x:c>
      <x:c r="J13" s="23" t="str"/>
      <x:c r="K13" s="24" t="str"/>
      <x:c r="L13" s="21" t="str">
        <x:v>每个必需入口均明确</x:v>
      </x:c>
    </x:row>
    <x:row r="14" ht="56" customHeight="1">
      <x:c r="A14" s="22" t="n">
        <x:v>8</x:v>
      </x:c>
      <x:c r="B14" s="22" t="str">
        <x:v>重要</x:v>
      </x:c>
      <x:c r="C14" s="21" t="str">
        <x:v>发现信息与签名公钥</x:v>
      </x:c>
      <x:c r="D14" s="21" t="str">
        <x:v>如采用开放身份连接，是否提供发现地址和公钥地址？</x:v>
      </x:c>
      <x:c r="E14" s="21" t="str">
        <x:v>发现地址、签发方标识、公钥地址、密钥轮换规则</x:v>
      </x:c>
      <x:c r="F14" s="23" t="str"/>
      <x:c r="G14" s="23" t="str">
        <x:v>未询问</x:v>
      </x:c>
      <x:c r="H14" s="23" t="str"/>
      <x:c r="I14" s="21" t="str">
        <x:v>统一认证 &gt; 协议参数</x:v>
      </x:c>
      <x:c r="J14" s="23" t="str"/>
      <x:c r="K14" s="24" t="str"/>
      <x:c r="L14" s="21" t="str">
        <x:v>签发方与公钥可校验</x:v>
      </x:c>
    </x:row>
    <x:row r="15" ht="56" customHeight="1">
      <x:c r="A15" s="22" t="n">
        <x:v>9</x:v>
      </x:c>
      <x:c r="B15" s="22" t="str">
        <x:v>必拿</x:v>
      </x:c>
      <x:c r="C15" s="21" t="str">
        <x:v>授权范围</x:v>
      </x:c>
      <x:c r="D15" s="21" t="str">
        <x:v>本系统能申请哪些用户信息范围？</x:v>
      </x:c>
      <x:c r="E15" s="21" t="str">
        <x:v>授权范围名称及审批要求</x:v>
      </x:c>
      <x:c r="F15" s="23" t="str"/>
      <x:c r="G15" s="23" t="str">
        <x:v>未询问</x:v>
      </x:c>
      <x:c r="H15" s="23" t="str"/>
      <x:c r="I15" s="21" t="str">
        <x:v>统一认证 &gt; 授权信息范围</x:v>
      </x:c>
      <x:c r="J15" s="23" t="str"/>
      <x:c r="K15" s="24" t="str"/>
      <x:c r="L15" s="21" t="str">
        <x:v>能取得业务必需字段且不过度授权</x:v>
      </x:c>
    </x:row>
    <x:row r="16" ht="56" customHeight="1">
      <x:c r="A16" s="22" t="n">
        <x:v>10</x:v>
      </x:c>
      <x:c r="B16" s="22" t="str">
        <x:v>必拿</x:v>
      </x:c>
      <x:c r="C16" s="21" t="str">
        <x:v>稳定身份唯一编号</x:v>
      </x:c>
      <x:c r="D16" s="21" t="str">
        <x:v>哪个字段能长期唯一标识同一人，改姓名或账号后仍不变？</x:v>
      </x:c>
      <x:c r="E16" s="21" t="str">
        <x:v>稳定身份字段名、格式、唯一性和变更规则</x:v>
      </x:c>
      <x:c r="F16" s="23" t="str"/>
      <x:c r="G16" s="23" t="str">
        <x:v>未询问</x:v>
      </x:c>
      <x:c r="H16" s="23" t="str"/>
      <x:c r="I16" s="21" t="str">
        <x:v>统一认证 &gt; 身份字段对应</x:v>
      </x:c>
      <x:c r="J16" s="23" t="str"/>
      <x:c r="K16" s="24" t="str"/>
      <x:c r="L16" s="21" t="str">
        <x:v>同一人重复登录不会产生新账号</x:v>
      </x:c>
    </x:row>
    <x:row r="17" ht="56" customHeight="1">
      <x:c r="A17" s="22" t="n">
        <x:v>11</x:v>
      </x:c>
      <x:c r="B17" s="22" t="str">
        <x:v>必拿</x:v>
      </x:c>
      <x:c r="C17" s="21" t="str">
        <x:v>账号与教师工号字段</x:v>
      </x:c>
      <x:c r="D17" s="21" t="str">
        <x:v>登录账号、教师工号分别是什么字段？是否可能为空或变化？</x:v>
      </x:c>
      <x:c r="E17" s="21" t="str">
        <x:v>字段名、类型、必填性、示例</x:v>
      </x:c>
      <x:c r="F17" s="23" t="str"/>
      <x:c r="G17" s="23" t="str">
        <x:v>未询问</x:v>
      </x:c>
      <x:c r="H17" s="23" t="str"/>
      <x:c r="I17" s="21" t="str">
        <x:v>统一认证 &gt; 身份字段对应</x:v>
      </x:c>
      <x:c r="J17" s="23" t="str"/>
      <x:c r="K17" s="24" t="str"/>
      <x:c r="L17" s="21" t="str">
        <x:v>账号和工号映射无歧义</x:v>
      </x:c>
    </x:row>
    <x:row r="18" ht="56" customHeight="1">
      <x:c r="A18" s="22" t="n">
        <x:v>12</x:v>
      </x:c>
      <x:c r="B18" s="22" t="str">
        <x:v>必拿</x:v>
      </x:c>
      <x:c r="C18" s="21" t="str">
        <x:v>姓名及联系方式字段</x:v>
      </x:c>
      <x:c r="D18" s="21" t="str">
        <x:v>姓名、手机号、邮箱分别是什么字段？哪些允许为空？</x:v>
      </x:c>
      <x:c r="E18" s="21" t="str">
        <x:v>字段名、类型、脱敏样例</x:v>
      </x:c>
      <x:c r="F18" s="23" t="str"/>
      <x:c r="G18" s="23" t="str">
        <x:v>未询问</x:v>
      </x:c>
      <x:c r="H18" s="23" t="str"/>
      <x:c r="I18" s="21" t="str">
        <x:v>统一认证 &gt; 身份字段对应</x:v>
      </x:c>
      <x:c r="J18" s="23" t="str"/>
      <x:c r="K18" s="24" t="str"/>
      <x:c r="L18" s="21" t="str">
        <x:v>中文姓名与空值可正确处理</x:v>
      </x:c>
    </x:row>
    <x:row r="19" ht="56" customHeight="1">
      <x:c r="A19" s="22" t="n">
        <x:v>13</x:v>
      </x:c>
      <x:c r="B19" s="22" t="str">
        <x:v>必拿</x:v>
      </x:c>
      <x:c r="C19" s="21" t="str">
        <x:v>组织字段</x:v>
      </x:c>
      <x:c r="D19" s="21" t="str">
        <x:v>学院、教研室如何编码？是否返回完整路径和上级编码？</x:v>
      </x:c>
      <x:c r="E19" s="21" t="str">
        <x:v>组织编码、名称、层级、上级关系、主组织规则</x:v>
      </x:c>
      <x:c r="F19" s="23" t="str"/>
      <x:c r="G19" s="23" t="str">
        <x:v>未询问</x:v>
      </x:c>
      <x:c r="H19" s="23" t="str"/>
      <x:c r="I19" s="21" t="str">
        <x:v>统一认证 &gt; 身份字段对应</x:v>
      </x:c>
      <x:c r="J19" s="23" t="str"/>
      <x:c r="K19" s="24" t="str"/>
      <x:c r="L19" s="21" t="str">
        <x:v>能映射四级数据范围</x:v>
      </x:c>
    </x:row>
    <x:row r="20" ht="56" customHeight="1">
      <x:c r="A20" s="22" t="n">
        <x:v>14</x:v>
      </x:c>
      <x:c r="B20" s="22" t="str">
        <x:v>必拿</x:v>
      </x:c>
      <x:c r="C20" s="21" t="str">
        <x:v>角色字段</x:v>
      </x:c>
      <x:c r="D20" s="21" t="str">
        <x:v>会返回哪些外部角色？一人多角色如何表示？</x:v>
      </x:c>
      <x:c r="E20" s="21" t="str">
        <x:v>角色代码表、多角色格式、主角色规则</x:v>
      </x:c>
      <x:c r="F20" s="23" t="str"/>
      <x:c r="G20" s="23" t="str">
        <x:v>未询问</x:v>
      </x:c>
      <x:c r="H20" s="23" t="str"/>
      <x:c r="I20" s="21" t="str">
        <x:v>统一认证 &gt; 角色映射</x:v>
      </x:c>
      <x:c r="J20" s="23" t="str"/>
      <x:c r="K20" s="24" t="str"/>
      <x:c r="L20" s="21" t="str">
        <x:v>外部角色仅进入白名单映射</x:v>
      </x:c>
    </x:row>
    <x:row r="21" ht="56" customHeight="1">
      <x:c r="A21" s="22" t="n">
        <x:v>15</x:v>
      </x:c>
      <x:c r="B21" s="22" t="str">
        <x:v>必拿</x:v>
      </x:c>
      <x:c r="C21" s="21" t="str">
        <x:v>管理员安全边界</x:v>
      </x:c>
      <x:c r="D21" s="21" t="str">
        <x:v>请确认外部返回管理员字样时，不自动成为本系统管理员。</x:v>
      </x:c>
      <x:c r="E21" s="21" t="str">
        <x:v>学校书面确认本系统管理员仍由本地授权</x:v>
      </x:c>
      <x:c r="F21" s="23" t="str"/>
      <x:c r="G21" s="23" t="str">
        <x:v>未询问</x:v>
      </x:c>
      <x:c r="H21" s="23" t="str"/>
      <x:c r="I21" s="21" t="str">
        <x:v>统一认证 &gt; 角色映射</x:v>
      </x:c>
      <x:c r="J21" s="23" t="str"/>
      <x:c r="K21" s="24" t="str"/>
      <x:c r="L21" s="21" t="str">
        <x:v>外部角色不能越权</x:v>
      </x:c>
    </x:row>
    <x:row r="22" ht="56" customHeight="1">
      <x:c r="A22" s="22" t="n">
        <x:v>16</x:v>
      </x:c>
      <x:c r="B22" s="22" t="str">
        <x:v>必拿</x:v>
      </x:c>
      <x:c r="C22" s="21" t="str">
        <x:v>账号启停状态</x:v>
      </x:c>
      <x:c r="D22" s="21" t="str">
        <x:v>在职、停用、离职、冻结分别返回什么值？何时生效？</x:v>
      </x:c>
      <x:c r="E22" s="21" t="str">
        <x:v>状态代码表、停用规则、恢复规则</x:v>
      </x:c>
      <x:c r="F22" s="23" t="str"/>
      <x:c r="G22" s="23" t="str">
        <x:v>未询问</x:v>
      </x:c>
      <x:c r="H22" s="23" t="str"/>
      <x:c r="I22" s="21" t="str">
        <x:v>统一认证 &gt; 身份字段对应</x:v>
      </x:c>
      <x:c r="J22" s="23" t="str"/>
      <x:c r="K22" s="24" t="str"/>
      <x:c r="L22" s="21" t="str">
        <x:v>停用账号无法继续使用旧会话</x:v>
      </x:c>
    </x:row>
    <x:row r="23" ht="56" customHeight="1">
      <x:c r="A23" s="22" t="n">
        <x:v>17</x:v>
      </x:c>
      <x:c r="B23" s="22" t="str">
        <x:v>重要</x:v>
      </x:c>
      <x:c r="C23" s="21" t="str">
        <x:v>多组织与兼岗</x:v>
      </x:c>
      <x:c r="D23" s="21" t="str">
        <x:v>一名教师兼属多个学院或教研室时怎样返回？</x:v>
      </x:c>
      <x:c r="E23" s="21" t="str">
        <x:v>多组织样例、主组织和数据范围决策</x:v>
      </x:c>
      <x:c r="F23" s="23" t="str"/>
      <x:c r="G23" s="23" t="str">
        <x:v>未询问</x:v>
      </x:c>
      <x:c r="H23" s="23" t="str"/>
      <x:c r="I23" s="21" t="str">
        <x:v>统一认证 &gt; 组织映射</x:v>
      </x:c>
      <x:c r="J23" s="23" t="str"/>
      <x:c r="K23" s="24" t="str"/>
      <x:c r="L23" s="21" t="str">
        <x:v>兼岗不扩大未授权数据范围</x:v>
      </x:c>
    </x:row>
    <x:row r="24" ht="56" customHeight="1">
      <x:c r="A24" s="22" t="n">
        <x:v>18</x:v>
      </x:c>
      <x:c r="B24" s="22" t="str">
        <x:v>重要</x:v>
      </x:c>
      <x:c r="C24" s="21" t="str">
        <x:v>调岗与离职处理</x:v>
      </x:c>
      <x:c r="D24" s="21" t="str">
        <x:v>组织或状态变更后多久同步？旧登录会话是否失效？</x:v>
      </x:c>
      <x:c r="E24" s="21" t="str">
        <x:v>变更时效、事件或重新登录规则</x:v>
      </x:c>
      <x:c r="F24" s="23" t="str"/>
      <x:c r="G24" s="23" t="str">
        <x:v>未询问</x:v>
      </x:c>
      <x:c r="H24" s="23" t="str"/>
      <x:c r="I24" s="21" t="str">
        <x:v>统一认证 &gt; 身份生命周期</x:v>
      </x:c>
      <x:c r="J24" s="23" t="str"/>
      <x:c r="K24" s="24" t="str"/>
      <x:c r="L24" s="21" t="str">
        <x:v>调岗、离职后权限及时收回</x:v>
      </x:c>
    </x:row>
    <x:row r="25" ht="56" customHeight="1">
      <x:c r="A25" s="22" t="n">
        <x:v>19</x:v>
      </x:c>
      <x:c r="B25" s="22" t="str">
        <x:v>必拿</x:v>
      </x:c>
      <x:c r="C25" s="21" t="str">
        <x:v>防伪状态与随机值</x:v>
      </x:c>
      <x:c r="D25" s="21" t="str">
        <x:v>学校协议是否要求防伪状态、随机值或授权码校验？</x:v>
      </x:c>
      <x:c r="E25" s="21" t="str">
        <x:v>参数名、有效期、一次性使用规则</x:v>
      </x:c>
      <x:c r="F25" s="23" t="str"/>
      <x:c r="G25" s="23" t="str">
        <x:v>未询问</x:v>
      </x:c>
      <x:c r="H25" s="23" t="str"/>
      <x:c r="I25" s="21" t="str">
        <x:v>统一认证 &gt; 安全校验</x:v>
      </x:c>
      <x:c r="J25" s="23" t="str"/>
      <x:c r="K25" s="24" t="str"/>
      <x:c r="L25" s="21" t="str">
        <x:v>回调不可重放或伪造</x:v>
      </x:c>
    </x:row>
    <x:row r="26" ht="56" customHeight="1">
      <x:c r="A26" s="22" t="n">
        <x:v>20</x:v>
      </x:c>
      <x:c r="B26" s="22" t="str">
        <x:v>重要</x:v>
      </x:c>
      <x:c r="C26" s="21" t="str">
        <x:v>时间有效期与服务器时钟</x:v>
      </x:c>
      <x:c r="D26" s="21" t="str">
        <x:v>票据或令牌有效多久？允许服务器时间误差多少？</x:v>
      </x:c>
      <x:c r="E26" s="21" t="str">
        <x:v>有效期、允许偏差、超时错误码</x:v>
      </x:c>
      <x:c r="F26" s="23" t="str"/>
      <x:c r="G26" s="23" t="str">
        <x:v>未询问</x:v>
      </x:c>
      <x:c r="H26" s="23" t="str"/>
      <x:c r="I26" s="21" t="str">
        <x:v>统一认证 &gt; 安全校验</x:v>
      </x:c>
      <x:c r="J26" s="23" t="str"/>
      <x:c r="K26" s="24" t="str"/>
      <x:c r="L26" s="21" t="str">
        <x:v>过期凭据明确拒绝</x:v>
      </x:c>
    </x:row>
    <x:row r="27" ht="56" customHeight="1">
      <x:c r="A27" s="22" t="n">
        <x:v>21</x:v>
      </x:c>
      <x:c r="B27" s="22" t="str">
        <x:v>必拿</x:v>
      </x:c>
      <x:c r="C27" s="21" t="str">
        <x:v>测试账号</x:v>
      </x:c>
      <x:c r="D27" s="21" t="str">
        <x:v>请准备正常、停用、调岗、兼岗四类脱敏测试账号。</x:v>
      </x:c>
      <x:c r="E27" s="21" t="str">
        <x:v>四类测试账号的使用窗口；密码另行安全交付</x:v>
      </x:c>
      <x:c r="F27" s="23" t="str"/>
      <x:c r="G27" s="23" t="str">
        <x:v>未询问</x:v>
      </x:c>
      <x:c r="H27" s="23" t="str"/>
      <x:c r="I27" s="21" t="str">
        <x:v>真实联调 &gt; 测试账号</x:v>
      </x:c>
      <x:c r="J27" s="23" t="str"/>
      <x:c r="K27" s="24" t="str"/>
      <x:c r="L27" s="21" t="str">
        <x:v>四类账号结果符合预期</x:v>
      </x:c>
    </x:row>
    <x:row r="28" ht="56" customHeight="1">
      <x:c r="A28" s="22" t="n">
        <x:v>22</x:v>
      </x:c>
      <x:c r="B28" s="22" t="str">
        <x:v>重要</x:v>
      </x:c>
      <x:c r="C28" s="21" t="str">
        <x:v>正常和异常样例</x:v>
      </x:c>
      <x:c r="D28" s="21" t="str">
        <x:v>请给一份正常回包和常见错误回包，隐去敏感值。</x:v>
      </x:c>
      <x:c r="E28" s="21" t="str">
        <x:v>正常、过期、无效、停用、无权限样例</x:v>
      </x:c>
      <x:c r="F28" s="23" t="str"/>
      <x:c r="G28" s="23" t="str">
        <x:v>未询问</x:v>
      </x:c>
      <x:c r="H28" s="23" t="str"/>
      <x:c r="I28" s="21" t="str">
        <x:v>真实联调 &gt; 样本校验</x:v>
      </x:c>
      <x:c r="J28" s="23" t="str"/>
      <x:c r="K28" s="24" t="str"/>
      <x:c r="L28" s="21" t="str">
        <x:v>错误能转成中文提示并留审计</x:v>
      </x:c>
    </x:row>
    <x:row r="29" ht="56" customHeight="1">
      <x:c r="A29" s="22" t="n">
        <x:v>23</x:v>
      </x:c>
      <x:c r="B29" s="22" t="str">
        <x:v>必拿</x:v>
      </x:c>
      <x:c r="C29" s="21" t="str">
        <x:v>凭据安全交付</x:v>
      </x:c>
      <x:c r="D29" s="21" t="str">
        <x:v>应用密钥由谁在服务器上配置？通过什么安全渠道交接？</x:v>
      </x:c>
      <x:c r="E29" s="21" t="str">
        <x:v>保管人、交付渠道、轮换联系人；不填写真实值</x:v>
      </x:c>
      <x:c r="F29" s="23" t="str"/>
      <x:c r="G29" s="23" t="str">
        <x:v>未询问</x:v>
      </x:c>
      <x:c r="H29" s="23" t="str"/>
      <x:c r="I29" s="21" t="str">
        <x:v>学校服务器 &gt; 凭据管理</x:v>
      </x:c>
      <x:c r="J29" s="23" t="str"/>
      <x:c r="K29" s="24" t="str"/>
      <x:c r="L29" s="21" t="str">
        <x:v>凭据不进入网页、表格、代码或日志</x:v>
      </x:c>
    </x:row>
    <x:row r="30" ht="56" customHeight="1">
      <x:c r="A30" s="22" t="n">
        <x:v>24</x:v>
      </x:c>
      <x:c r="B30" s="22" t="str">
        <x:v>重要</x:v>
      </x:c>
      <x:c r="C30" s="21" t="str">
        <x:v>网络白名单</x:v>
      </x:c>
      <x:c r="D30" s="21" t="str">
        <x:v>认证平台是否限制来源地址？需要放行哪些学校服务器地址？</x:v>
      </x:c>
      <x:c r="E30" s="21" t="str">
        <x:v>来源地址、目标地址、端口和申请流程</x:v>
      </x:c>
      <x:c r="F30" s="23" t="str"/>
      <x:c r="G30" s="23" t="str">
        <x:v>未询问</x:v>
      </x:c>
      <x:c r="H30" s="23" t="str"/>
      <x:c r="I30" s="21" t="str">
        <x:v>学校服务器 &gt; 网络开通</x:v>
      </x:c>
      <x:c r="J30" s="23" t="str"/>
      <x:c r="K30" s="24" t="str"/>
      <x:c r="L30" s="21" t="str">
        <x:v>仅必要方向和端口放行</x:v>
      </x:c>
    </x:row>
    <x:row r="31" ht="56" customHeight="1">
      <x:c r="A31" s="22" t="n">
        <x:v>25</x:v>
      </x:c>
      <x:c r="B31" s="22" t="str">
        <x:v>重要</x:v>
      </x:c>
      <x:c r="C31" s="21" t="str">
        <x:v>证书与域名</x:v>
      </x:c>
      <x:c r="D31" s="21" t="str">
        <x:v>测试和正式环境证书由谁维护？是否使用学校内部证书？</x:v>
      </x:c>
      <x:c r="E31" s="21" t="str">
        <x:v>域名、证书链、更新责任人</x:v>
      </x:c>
      <x:c r="F31" s="23" t="str"/>
      <x:c r="G31" s="23" t="str">
        <x:v>未询问</x:v>
      </x:c>
      <x:c r="H31" s="23" t="str"/>
      <x:c r="I31" s="21" t="str">
        <x:v>学校服务器 &gt; 域名与证书</x:v>
      </x:c>
      <x:c r="J31" s="23" t="str"/>
      <x:c r="K31" s="24" t="str"/>
      <x:c r="L31" s="21" t="str">
        <x:v>证书可验证且到期有提醒</x:v>
      </x:c>
    </x:row>
    <x:row r="32" ht="56" customHeight="1">
      <x:c r="A32" s="22" t="n">
        <x:v>26</x:v>
      </x:c>
      <x:c r="B32" s="22" t="str">
        <x:v>必拿</x:v>
      </x:c>
      <x:c r="C32" s="21" t="str">
        <x:v>错误码与审计要求</x:v>
      </x:c>
      <x:c r="D32" s="21" t="str">
        <x:v>认证失败有哪些错误码？学校要求保留哪些审计字段和多久？</x:v>
      </x:c>
      <x:c r="E32" s="21" t="str">
        <x:v>错误码表、请求编号、日志留存期</x:v>
      </x:c>
      <x:c r="F32" s="23" t="str"/>
      <x:c r="G32" s="23" t="str">
        <x:v>未询问</x:v>
      </x:c>
      <x:c r="H32" s="23" t="str"/>
      <x:c r="I32" s="21" t="str">
        <x:v>统一认证 &gt; 异常与审计</x:v>
      </x:c>
      <x:c r="J32" s="23" t="str"/>
      <x:c r="K32" s="24" t="str"/>
      <x:c r="L32" s="21" t="str">
        <x:v>不记录密钥，能按请求编号追查</x:v>
      </x:c>
    </x:row>
    <x:row r="33" ht="56" customHeight="1">
      <x:c r="A33" s="22" t="n">
        <x:v>27</x:v>
      </x:c>
      <x:c r="B33" s="22" t="str">
        <x:v>重要</x:v>
      </x:c>
      <x:c r="C33" s="21" t="str">
        <x:v>接口负责人和变更通知</x:v>
      </x:c>
      <x:c r="D33" s="21" t="str">
        <x:v>技术问题找谁？地址、证书、字段变化提前多久通知？</x:v>
      </x:c>
      <x:c r="E33" s="21" t="str">
        <x:v>学校负责人、厂商负责人、通知机制</x:v>
      </x:c>
      <x:c r="F33" s="23" t="str"/>
      <x:c r="G33" s="23" t="str">
        <x:v>未询问</x:v>
      </x:c>
      <x:c r="H33" s="23" t="str"/>
      <x:c r="I33" s="21" t="str">
        <x:v>统一认证 &gt; 责任人</x:v>
      </x:c>
      <x:c r="J33" s="23" t="str"/>
      <x:c r="K33" s="24" t="str"/>
      <x:c r="L33" s="21" t="str">
        <x:v>联系人和升级路径可用</x:v>
      </x:c>
    </x:row>
    <x:row r="34" ht="56" customHeight="1">
      <x:c r="A34" s="22" t="n">
        <x:v>28</x:v>
      </x:c>
      <x:c r="B34" s="22" t="str">
        <x:v>必拿</x:v>
      </x:c>
      <x:c r="C34" s="21" t="str">
        <x:v>联调与验收口径</x:v>
      </x:c>
      <x:c r="D34" s="21" t="str">
        <x:v>统一认证怎样才算验收通过？由谁签字？</x:v>
      </x:c>
      <x:c r="E34" s="21" t="str">
        <x:v>场景清单、通过标准、签字人和时间窗口</x:v>
      </x:c>
      <x:c r="F34" s="23" t="str"/>
      <x:c r="G34" s="23" t="str">
        <x:v>未询问</x:v>
      </x:c>
      <x:c r="H34" s="23" t="str"/>
      <x:c r="I34" s="21" t="str">
        <x:v>真实联调 &gt; 验收</x:v>
      </x:c>
      <x:c r="J34" s="23" t="str"/>
      <x:c r="K34" s="24" t="str"/>
      <x:c r="L34" s="21" t="str">
        <x:v>身份正确、权限不扩大、异常可追溯</x:v>
      </x:c>
    </x:row>
  </x:sheetData>
  <x:mergeCells>
    <x:mergeCell ref="A1:L1"/>
    <x:mergeCell ref="A2:L2"/>
    <x:mergeCell ref="A4:L4"/>
  </x:mergeCells>
  <x:dataValidations count="2">
    <x:dataValidation type="list" sqref="G7:G34">
      <x:formula1>"未询问,已拿到,仅口头确认,对方补充,不适用"</x:formula1>
    </x:dataValidation>
    <x:dataValidation type="list" sqref="B7:B34">
      <x:formula1>"必拿,重要,后续"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E5BD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8" hidden="0" customWidth="1"/>
    <x:col min="3" max="3" width="21" hidden="0" customWidth="1"/>
    <x:col min="4" max="4" width="30" hidden="0" customWidth="1"/>
    <x:col min="5" max="5" width="26" hidden="0" customWidth="1"/>
    <x:col min="6" max="6" width="24" hidden="0" customWidth="1"/>
    <x:col min="7" max="7" width="13" hidden="0" customWidth="1"/>
    <x:col min="8" max="8" width="16" hidden="0" customWidth="1"/>
    <x:col min="9" max="9" width="26" hidden="0" customWidth="1"/>
    <x:col min="10" max="10" width="22" hidden="0" customWidth="1"/>
    <x:col min="11" max="11" width="14" hidden="0" customWidth="1"/>
    <x:col min="12" max="12" width="25" hidden="0" customWidth="1"/>
  </x:cols>
  <x:sheetData>
    <x:row r="1" ht="34" customHeight="1">
      <x:c r="A1" s="3" t="str">
        <x:v>学校数据中台资料清单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目标：五类数据通过“预览—校验—确认”进入本系统；没有正式资料和真实样本时不入库。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1" customHeight="1">
      <x:c r="A4" s="11" t="str">
        <x:v>填写规则：黄色列现场填写；真实密码、令牌、密钥、私钥禁止写入本表，只记录安全交付人和交付方式。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6" ht="32" customHeight="1">
      <x:c r="A6" s="17" t="str">
        <x:v>序号</x:v>
      </x:c>
      <x:c r="B6" s="17" t="str">
        <x:v>优先级</x:v>
      </x:c>
      <x:c r="C6" s="17" t="str">
        <x:v>资料或问题</x:v>
      </x:c>
      <x:c r="D6" s="17" t="str">
        <x:v>明天现场怎么问</x:v>
      </x:c>
      <x:c r="E6" s="17" t="str">
        <x:v>学校需提供或确认</x:v>
      </x:c>
      <x:c r="F6" s="17" t="str">
        <x:v>现场答复（可填写）</x:v>
      </x:c>
      <x:c r="G6" s="17" t="str">
        <x:v>当前状态</x:v>
      </x:c>
      <x:c r="H6" s="17" t="str">
        <x:v>学校责任人</x:v>
      </x:c>
      <x:c r="I6" s="17" t="str">
        <x:v>后续填到哪里或用于什么</x:v>
      </x:c>
      <x:c r="J6" s="17" t="str">
        <x:v>证据文件名或备注</x:v>
      </x:c>
      <x:c r="K6" s="17" t="str">
        <x:v>计划完成日期</x:v>
      </x:c>
      <x:c r="L6" s="17" t="str">
        <x:v>验证标准</x:v>
      </x:c>
    </x:row>
    <x:row r="7" ht="56" customHeight="1">
      <x:c r="A7" s="22" t="n">
        <x:v>1</x:v>
      </x:c>
      <x:c r="B7" s="22" t="str">
        <x:v>必拿</x:v>
      </x:c>
      <x:c r="C7" s="21" t="str">
        <x:v>正式技术文档与版本</x:v>
      </x:c>
      <x:c r="D7" s="21" t="str">
        <x:v>请提供数据中台接口规范、版本和维护单位。</x:v>
      </x:c>
      <x:c r="E7" s="21" t="str">
        <x:v>正式技术文档、版本、变更记录、负责人</x:v>
      </x:c>
      <x:c r="F7" s="23" t="str"/>
      <x:c r="G7" s="23" t="str">
        <x:v>未询问</x:v>
      </x:c>
      <x:c r="H7" s="23" t="str"/>
      <x:c r="I7" s="21" t="str">
        <x:v>数据中台 &gt; 基础参数</x:v>
      </x:c>
      <x:c r="J7" s="23" t="str"/>
      <x:c r="K7" s="24" t="str"/>
      <x:c r="L7" s="21" t="str">
        <x:v>文档可追溯且版本明确</x:v>
      </x:c>
    </x:row>
    <x:row r="8" ht="56" customHeight="1">
      <x:c r="A8" s="22" t="n">
        <x:v>2</x:v>
      </x:c>
      <x:c r="B8" s="22" t="str">
        <x:v>必拿</x:v>
      </x:c>
      <x:c r="C8" s="21" t="str">
        <x:v>测试与正式总地址</x:v>
      </x:c>
      <x:c r="D8" s="21" t="str">
        <x:v>测试和正式接口总地址分别是什么？</x:v>
      </x:c>
      <x:c r="E8" s="21" t="str">
        <x:v>两个固定安全地址、启用窗口</x:v>
      </x:c>
      <x:c r="F8" s="23" t="str"/>
      <x:c r="G8" s="23" t="str">
        <x:v>未询问</x:v>
      </x:c>
      <x:c r="H8" s="23" t="str"/>
      <x:c r="I8" s="21" t="str">
        <x:v>数据中台 &gt; 对方系统地址</x:v>
      </x:c>
      <x:c r="J8" s="23" t="str"/>
      <x:c r="K8" s="24" t="str"/>
      <x:c r="L8" s="21" t="str">
        <x:v>地址不含临时令牌和查询参数</x:v>
      </x:c>
    </x:row>
    <x:row r="9" ht="56" customHeight="1">
      <x:c r="A9" s="22" t="n">
        <x:v>3</x:v>
      </x:c>
      <x:c r="B9" s="22" t="str">
        <x:v>必拿</x:v>
      </x:c>
      <x:c r="C9" s="21" t="str">
        <x:v>五类数据接口清单</x:v>
      </x:c>
      <x:c r="D9" s="21" t="str">
        <x:v>请确认教师人事、培训收入、课程人次、培训项目、课程基础信息是否都有接口。</x:v>
      </x:c>
      <x:c r="E9" s="21" t="str">
        <x:v>每类接口名称、地址、方法、负责人</x:v>
      </x:c>
      <x:c r="F9" s="23" t="str"/>
      <x:c r="G9" s="23" t="str">
        <x:v>未询问</x:v>
      </x:c>
      <x:c r="H9" s="23" t="str"/>
      <x:c r="I9" s="21" t="str">
        <x:v>数据中台 &gt; 采集规则</x:v>
      </x:c>
      <x:c r="J9" s="23" t="str"/>
      <x:c r="K9" s="24" t="str"/>
      <x:c r="L9" s="21" t="str">
        <x:v>五类逐项明确，不用一个口头总答复代替</x:v>
      </x:c>
    </x:row>
    <x:row r="10" ht="56" customHeight="1">
      <x:c r="A10" s="22" t="n">
        <x:v>4</x:v>
      </x:c>
      <x:c r="B10" s="22" t="str">
        <x:v>必拿</x:v>
      </x:c>
      <x:c r="C10" s="21" t="str">
        <x:v>调用方向</x:v>
      </x:c>
      <x:c r="D10" s="21" t="str">
        <x:v>由本系统主动拉取，还是中台主动推送？是否两者并存？</x:v>
      </x:c>
      <x:c r="E10" s="21" t="str">
        <x:v>每类数据的调用方向与网络方向</x:v>
      </x:c>
      <x:c r="F10" s="23" t="str"/>
      <x:c r="G10" s="23" t="str">
        <x:v>未询问</x:v>
      </x:c>
      <x:c r="H10" s="23" t="str"/>
      <x:c r="I10" s="21" t="str">
        <x:v>数据中台 &gt; 采集规则</x:v>
      </x:c>
      <x:c r="J10" s="23" t="str"/>
      <x:c r="K10" s="24" t="str"/>
      <x:c r="L10" s="21" t="str">
        <x:v>调用方、被调用方清楚</x:v>
      </x:c>
    </x:row>
    <x:row r="11" ht="56" customHeight="1">
      <x:c r="A11" s="22" t="n">
        <x:v>5</x:v>
      </x:c>
      <x:c r="B11" s="22" t="str">
        <x:v>必拿</x:v>
      </x:c>
      <x:c r="C11" s="21" t="str">
        <x:v>请求方式</x:v>
      </x:c>
      <x:c r="D11" s="21" t="str">
        <x:v>每个接口使用读取还是提交请求？参数放在哪里？</x:v>
      </x:c>
      <x:c r="E11" s="21" t="str">
        <x:v>请求方法、地址参数、请求头和请求正文规则</x:v>
      </x:c>
      <x:c r="F11" s="23" t="str"/>
      <x:c r="G11" s="23" t="str">
        <x:v>未询问</x:v>
      </x:c>
      <x:c r="H11" s="23" t="str"/>
      <x:c r="I11" s="21" t="str">
        <x:v>数据中台 &gt; 数据类型适配</x:v>
      </x:c>
      <x:c r="J11" s="23" t="str"/>
      <x:c r="K11" s="24" t="str"/>
      <x:c r="L11" s="21" t="str">
        <x:v>与正式文档一致</x:v>
      </x:c>
    </x:row>
    <x:row r="12" ht="56" customHeight="1">
      <x:c r="A12" s="22" t="n">
        <x:v>6</x:v>
      </x:c>
      <x:c r="B12" s="22" t="str">
        <x:v>必拿</x:v>
      </x:c>
      <x:c r="C12" s="21" t="str">
        <x:v>鉴权方式</x:v>
      </x:c>
      <x:c r="D12" s="21" t="str">
        <x:v>使用令牌、基础认证、应用凭据还是签名？</x:v>
      </x:c>
      <x:c r="E12" s="21" t="str">
        <x:v>鉴权类型、申请流程、有效期</x:v>
      </x:c>
      <x:c r="F12" s="23" t="str"/>
      <x:c r="G12" s="23" t="str">
        <x:v>未询问</x:v>
      </x:c>
      <x:c r="H12" s="23" t="str"/>
      <x:c r="I12" s="21" t="str">
        <x:v>数据中台 &gt; 鉴权方式</x:v>
      </x:c>
      <x:c r="J12" s="23" t="str"/>
      <x:c r="K12" s="24" t="str"/>
      <x:c r="L12" s="21" t="str">
        <x:v>系统已有对应模式或明确需补充</x:v>
      </x:c>
    </x:row>
    <x:row r="13" ht="56" customHeight="1">
      <x:c r="A13" s="22" t="n">
        <x:v>7</x:v>
      </x:c>
      <x:c r="B13" s="22" t="str">
        <x:v>重要</x:v>
      </x:c>
      <x:c r="C13" s="21" t="str">
        <x:v>令牌获取与刷新</x:v>
      </x:c>
      <x:c r="D13" s="21" t="str">
        <x:v>如需令牌，获取地址、有效期和刷新方式是什么？</x:v>
      </x:c>
      <x:c r="E13" s="21" t="str">
        <x:v>令牌地址、授权范围、刷新和失效规则</x:v>
      </x:c>
      <x:c r="F13" s="23" t="str"/>
      <x:c r="G13" s="23" t="str">
        <x:v>未询问</x:v>
      </x:c>
      <x:c r="H13" s="23" t="str"/>
      <x:c r="I13" s="21" t="str">
        <x:v>数据中台 &gt; 鉴权方式</x:v>
      </x:c>
      <x:c r="J13" s="23" t="str"/>
      <x:c r="K13" s="24" t="str"/>
      <x:c r="L13" s="21" t="str">
        <x:v>令牌失效后可安全恢复</x:v>
      </x:c>
    </x:row>
    <x:row r="14" ht="56" customHeight="1">
      <x:c r="A14" s="22" t="n">
        <x:v>8</x:v>
      </x:c>
      <x:c r="B14" s="22" t="str">
        <x:v>重要</x:v>
      </x:c>
      <x:c r="C14" s="21" t="str">
        <x:v>签名规范</x:v>
      </x:c>
      <x:c r="D14" s="21" t="str">
        <x:v>如需签名，算法、签名原文、字段顺序、字符集和输出格式是什么？</x:v>
      </x:c>
      <x:c r="E14" s="21" t="str">
        <x:v>完整签名规范及脱敏计算样例</x:v>
      </x:c>
      <x:c r="F14" s="23" t="str"/>
      <x:c r="G14" s="23" t="str">
        <x:v>未询问</x:v>
      </x:c>
      <x:c r="H14" s="23" t="str"/>
      <x:c r="I14" s="21" t="str">
        <x:v>数据中台 &gt; 签名规则</x:v>
      </x:c>
      <x:c r="J14" s="23" t="str"/>
      <x:c r="K14" s="24" t="str"/>
      <x:c r="L14" s="21" t="str">
        <x:v>用样例可复算出相同签名</x:v>
      </x:c>
    </x:row>
    <x:row r="15" ht="56" customHeight="1">
      <x:c r="A15" s="22" t="n">
        <x:v>9</x:v>
      </x:c>
      <x:c r="B15" s="22" t="str">
        <x:v>重要</x:v>
      </x:c>
      <x:c r="C15" s="21" t="str">
        <x:v>时间戳与随机数</x:v>
      </x:c>
      <x:c r="D15" s="21" t="str">
        <x:v>时间戳格式、时区、允许误差和随机数重复规则是什么？</x:v>
      </x:c>
      <x:c r="E15" s="21" t="str">
        <x:v>参数名、位置、格式、误差、重复判定</x:v>
      </x:c>
      <x:c r="F15" s="23" t="str"/>
      <x:c r="G15" s="23" t="str">
        <x:v>未询问</x:v>
      </x:c>
      <x:c r="H15" s="23" t="str"/>
      <x:c r="I15" s="21" t="str">
        <x:v>数据中台 &gt; 签名规则</x:v>
      </x:c>
      <x:c r="J15" s="23" t="str"/>
      <x:c r="K15" s="24" t="str"/>
      <x:c r="L15" s="21" t="str">
        <x:v>过期和重放请求被拒绝</x:v>
      </x:c>
    </x:row>
    <x:row r="16" ht="56" customHeight="1">
      <x:c r="A16" s="22" t="n">
        <x:v>10</x:v>
      </x:c>
      <x:c r="B16" s="22" t="str">
        <x:v>必拿</x:v>
      </x:c>
      <x:c r="C16" s="21" t="str">
        <x:v>凭据安全交付</x:v>
      </x:c>
      <x:c r="D16" s="21" t="str">
        <x:v>真实凭据由谁配置到学校服务器？如何轮换？</x:v>
      </x:c>
      <x:c r="E16" s="21" t="str">
        <x:v>保管人、安全交付渠道、轮换与吊销流程</x:v>
      </x:c>
      <x:c r="F16" s="23" t="str"/>
      <x:c r="G16" s="23" t="str">
        <x:v>未询问</x:v>
      </x:c>
      <x:c r="H16" s="23" t="str"/>
      <x:c r="I16" s="21" t="str">
        <x:v>学校服务器 &gt; 凭据管理</x:v>
      </x:c>
      <x:c r="J16" s="23" t="str"/>
      <x:c r="K16" s="24" t="str"/>
      <x:c r="L16" s="21" t="str">
        <x:v>表格和网页无明文凭据</x:v>
      </x:c>
    </x:row>
    <x:row r="17" ht="56" customHeight="1">
      <x:c r="A17" s="22" t="n">
        <x:v>11</x:v>
      </x:c>
      <x:c r="B17" s="22" t="str">
        <x:v>必拿</x:v>
      </x:c>
      <x:c r="C17" s="21" t="str">
        <x:v>学校或机构编码</x:v>
      </x:c>
      <x:c r="D17" s="21" t="str">
        <x:v>每次调用是否必须携带学校编码或系统编号？</x:v>
      </x:c>
      <x:c r="E17" s="21" t="str">
        <x:v>编码值、参数名、位置、格式</x:v>
      </x:c>
      <x:c r="F17" s="23" t="str"/>
      <x:c r="G17" s="23" t="str">
        <x:v>未询问</x:v>
      </x:c>
      <x:c r="H17" s="23" t="str"/>
      <x:c r="I17" s="21" t="str">
        <x:v>数据中台 &gt; 基础参数</x:v>
      </x:c>
      <x:c r="J17" s="23" t="str"/>
      <x:c r="K17" s="24" t="str"/>
      <x:c r="L17" s="21" t="str">
        <x:v>测试与正式编码区分明确</x:v>
      </x:c>
    </x:row>
    <x:row r="18" ht="56" customHeight="1">
      <x:c r="A18" s="22" t="n">
        <x:v>12</x:v>
      </x:c>
      <x:c r="B18" s="22" t="str">
        <x:v>必拿</x:v>
      </x:c>
      <x:c r="C18" s="21" t="str">
        <x:v>字段字典</x:v>
      </x:c>
      <x:c r="D18" s="21" t="str">
        <x:v>请逐类提供字段中文名、字段名、类型、长度、是否必填。</x:v>
      </x:c>
      <x:c r="E18" s="21" t="str">
        <x:v>五类完整字段字典</x:v>
      </x:c>
      <x:c r="F18" s="23" t="str"/>
      <x:c r="G18" s="23" t="str">
        <x:v>未询问</x:v>
      </x:c>
      <x:c r="H18" s="23" t="str"/>
      <x:c r="I18" s="21" t="str">
        <x:v>数据中台 &gt; 字段对应</x:v>
      </x:c>
      <x:c r="J18" s="23" t="str"/>
      <x:c r="K18" s="24" t="str"/>
      <x:c r="L18" s="21" t="str">
        <x:v>必填、类型和长度可自动校验</x:v>
      </x:c>
    </x:row>
    <x:row r="19" ht="56" customHeight="1">
      <x:c r="A19" s="22" t="n">
        <x:v>13</x:v>
      </x:c>
      <x:c r="B19" s="22" t="str">
        <x:v>必拿</x:v>
      </x:c>
      <x:c r="C19" s="21" t="str">
        <x:v>唯一编号与关联关系</x:v>
      </x:c>
      <x:c r="D19" s="21" t="str">
        <x:v>每条教师、项目、课程、收入、人次用什么唯一编号？如何互相关联？</x:v>
      </x:c>
      <x:c r="E19" s="21" t="str">
        <x:v>唯一键、外键、组合键和稳定性说明</x:v>
      </x:c>
      <x:c r="F19" s="23" t="str"/>
      <x:c r="G19" s="23" t="str">
        <x:v>未询问</x:v>
      </x:c>
      <x:c r="H19" s="23" t="str"/>
      <x:c r="I19" s="21" t="str">
        <x:v>数据中台 &gt; 字段对应</x:v>
      </x:c>
      <x:c r="J19" s="23" t="str"/>
      <x:c r="K19" s="24" t="str"/>
      <x:c r="L19" s="21" t="str">
        <x:v>重复拉取不会生成重复业务数据</x:v>
      </x:c>
    </x:row>
    <x:row r="20" ht="56" customHeight="1">
      <x:c r="A20" s="22" t="n">
        <x:v>14</x:v>
      </x:c>
      <x:c r="B20" s="22" t="str">
        <x:v>必拿</x:v>
      </x:c>
      <x:c r="C20" s="21" t="str">
        <x:v>教师人事字段</x:v>
      </x:c>
      <x:c r="D20" s="21" t="str">
        <x:v>工号、姓名、学院、教研室、职称、启停和更新时间分别是什么字段？</x:v>
      </x:c>
      <x:c r="E20" s="21" t="str">
        <x:v>教师人事字段说明与脱敏样例</x:v>
      </x:c>
      <x:c r="F20" s="23" t="str"/>
      <x:c r="G20" s="23" t="str">
        <x:v>未询问</x:v>
      </x:c>
      <x:c r="H20" s="23" t="str"/>
      <x:c r="I20" s="21" t="str">
        <x:v>数据中台 &gt; 教师人事</x:v>
      </x:c>
      <x:c r="J20" s="23" t="str"/>
      <x:c r="K20" s="24" t="str"/>
      <x:c r="L20" s="21" t="str">
        <x:v>支持组织和停用处理</x:v>
      </x:c>
    </x:row>
    <x:row r="21" ht="56" customHeight="1">
      <x:c r="A21" s="22" t="n">
        <x:v>15</x:v>
      </x:c>
      <x:c r="B21" s="22" t="str">
        <x:v>必拿</x:v>
      </x:c>
      <x:c r="C21" s="21" t="str">
        <x:v>培训项目字段</x:v>
      </x:c>
      <x:c r="D21" s="21" t="str">
        <x:v>项目编码、名称、起止时间、状态和外部编号分别是什么字段？</x:v>
      </x:c>
      <x:c r="E21" s="21" t="str">
        <x:v>培训项目字段说明与样例</x:v>
      </x:c>
      <x:c r="F21" s="23" t="str"/>
      <x:c r="G21" s="23" t="str">
        <x:v>未询问</x:v>
      </x:c>
      <x:c r="H21" s="23" t="str"/>
      <x:c r="I21" s="21" t="str">
        <x:v>数据中台 &gt; 培训项目</x:v>
      </x:c>
      <x:c r="J21" s="23" t="str"/>
      <x:c r="K21" s="24" t="str"/>
      <x:c r="L21" s="21" t="str">
        <x:v>项目唯一且状态可解释</x:v>
      </x:c>
    </x:row>
    <x:row r="22" ht="56" customHeight="1">
      <x:c r="A22" s="22" t="n">
        <x:v>16</x:v>
      </x:c>
      <x:c r="B22" s="22" t="str">
        <x:v>必拿</x:v>
      </x:c>
      <x:c r="C22" s="21" t="str">
        <x:v>课程基础字段</x:v>
      </x:c>
      <x:c r="D22" s="21" t="str">
        <x:v>课程编码、名称、所属项目、状态和外部编号分别是什么字段？</x:v>
      </x:c>
      <x:c r="E22" s="21" t="str">
        <x:v>课程字段说明与样例</x:v>
      </x:c>
      <x:c r="F22" s="23" t="str"/>
      <x:c r="G22" s="23" t="str">
        <x:v>未询问</x:v>
      </x:c>
      <x:c r="H22" s="23" t="str"/>
      <x:c r="I22" s="21" t="str">
        <x:v>数据中台 &gt; 课程基础信息</x:v>
      </x:c>
      <x:c r="J22" s="23" t="str"/>
      <x:c r="K22" s="24" t="str"/>
      <x:c r="L22" s="21" t="str">
        <x:v>课程能正确关联项目</x:v>
      </x:c>
    </x:row>
    <x:row r="23" ht="56" customHeight="1">
      <x:c r="A23" s="22" t="n">
        <x:v>17</x:v>
      </x:c>
      <x:c r="B23" s="22" t="str">
        <x:v>必拿</x:v>
      </x:c>
      <x:c r="C23" s="21" t="str">
        <x:v>培训收入字段</x:v>
      </x:c>
      <x:c r="D23" s="21" t="str">
        <x:v>收入金额、教师、日期、项目、课程和业务编号分别是什么字段？</x:v>
      </x:c>
      <x:c r="E23" s="21" t="str">
        <x:v>收入字段说明、金额精度与样例</x:v>
      </x:c>
      <x:c r="F23" s="23" t="str"/>
      <x:c r="G23" s="23" t="str">
        <x:v>未询问</x:v>
      </x:c>
      <x:c r="H23" s="23" t="str"/>
      <x:c r="I23" s="21" t="str">
        <x:v>数据中台 &gt; 培训收入</x:v>
      </x:c>
      <x:c r="J23" s="23" t="str"/>
      <x:c r="K23" s="24" t="str"/>
      <x:c r="L23" s="21" t="str">
        <x:v>金额精度和归属正确</x:v>
      </x:c>
    </x:row>
    <x:row r="24" ht="56" customHeight="1">
      <x:c r="A24" s="22" t="n">
        <x:v>18</x:v>
      </x:c>
      <x:c r="B24" s="22" t="str">
        <x:v>必拿</x:v>
      </x:c>
      <x:c r="C24" s="21" t="str">
        <x:v>课程人次字段</x:v>
      </x:c>
      <x:c r="D24" s="21" t="str">
        <x:v>人次、教师、日期、项目、课程、班级和业务编号分别是什么字段？</x:v>
      </x:c>
      <x:c r="E24" s="21" t="str">
        <x:v>课程人次字段说明与样例</x:v>
      </x:c>
      <x:c r="F24" s="23" t="str"/>
      <x:c r="G24" s="23" t="str">
        <x:v>未询问</x:v>
      </x:c>
      <x:c r="H24" s="23" t="str"/>
      <x:c r="I24" s="21" t="str">
        <x:v>数据中台 &gt; 课程人次</x:v>
      </x:c>
      <x:c r="J24" s="23" t="str"/>
      <x:c r="K24" s="24" t="str"/>
      <x:c r="L24" s="21" t="str">
        <x:v>人次口径与唯一性明确</x:v>
      </x:c>
    </x:row>
    <x:row r="25" ht="56" customHeight="1">
      <x:c r="A25" s="22" t="n">
        <x:v>19</x:v>
      </x:c>
      <x:c r="B25" s="22" t="str">
        <x:v>必拿</x:v>
      </x:c>
      <x:c r="C25" s="21" t="str">
        <x:v>空值与默认值</x:v>
      </x:c>
      <x:c r="D25" s="21" t="str">
        <x:v>空字符串、空值、零和缺字段分别代表什么？</x:v>
      </x:c>
      <x:c r="E25" s="21" t="str">
        <x:v>每个关键字段的空值语义</x:v>
      </x:c>
      <x:c r="F25" s="23" t="str"/>
      <x:c r="G25" s="23" t="str">
        <x:v>未询问</x:v>
      </x:c>
      <x:c r="H25" s="23" t="str"/>
      <x:c r="I25" s="21" t="str">
        <x:v>数据中台 &gt; 字段对应</x:v>
      </x:c>
      <x:c r="J25" s="23" t="str"/>
      <x:c r="K25" s="24" t="str"/>
      <x:c r="L25" s="21" t="str">
        <x:v>不会把缺失值误当成零或删除</x:v>
      </x:c>
    </x:row>
    <x:row r="26" ht="56" customHeight="1">
      <x:c r="A26" s="22" t="n">
        <x:v>20</x:v>
      </x:c>
      <x:c r="B26" s="22" t="str">
        <x:v>必拿</x:v>
      </x:c>
      <x:c r="C26" s="21" t="str">
        <x:v>代码表</x:v>
      </x:c>
      <x:c r="D26" s="21" t="str">
        <x:v>组织、职称、状态、项目状态等有哪些代码？</x:v>
      </x:c>
      <x:c r="E26" s="21" t="str">
        <x:v>代码值、中文含义、启停日期</x:v>
      </x:c>
      <x:c r="F26" s="23" t="str"/>
      <x:c r="G26" s="23" t="str">
        <x:v>未询问</x:v>
      </x:c>
      <x:c r="H26" s="23" t="str"/>
      <x:c r="I26" s="21" t="str">
        <x:v>基础配置与字典</x:v>
      </x:c>
      <x:c r="J26" s="23" t="str"/>
      <x:c r="K26" s="24" t="str"/>
      <x:c r="L26" s="21" t="str">
        <x:v>代码能转换为中文业务含义</x:v>
      </x:c>
    </x:row>
    <x:row r="27" ht="56" customHeight="1">
      <x:c r="A27" s="22" t="n">
        <x:v>21</x:v>
      </x:c>
      <x:c r="B27" s="22" t="str">
        <x:v>必拿</x:v>
      </x:c>
      <x:c r="C27" s="21" t="str">
        <x:v>全量初始化规则</x:v>
      </x:c>
      <x:c r="D27" s="21" t="str">
        <x:v>首次上线从什么日期开始取？如何标记全量结束？</x:v>
      </x:c>
      <x:c r="E27" s="21" t="str">
        <x:v>全量范围、批次边界、完成标志</x:v>
      </x:c>
      <x:c r="F27" s="23" t="str"/>
      <x:c r="G27" s="23" t="str">
        <x:v>未询问</x:v>
      </x:c>
      <x:c r="H27" s="23" t="str"/>
      <x:c r="I27" s="21" t="str">
        <x:v>数据中台 &gt; 采集规则</x:v>
      </x:c>
      <x:c r="J27" s="23" t="str"/>
      <x:c r="K27" s="24" t="str"/>
      <x:c r="L27" s="21" t="str">
        <x:v>全量可断点续作且可核对总数</x:v>
      </x:c>
    </x:row>
    <x:row r="28" ht="56" customHeight="1">
      <x:c r="A28" s="22" t="n">
        <x:v>22</x:v>
      </x:c>
      <x:c r="B28" s="22" t="str">
        <x:v>必拿</x:v>
      </x:c>
      <x:c r="C28" s="21" t="str">
        <x:v>增量字段与边界</x:v>
      </x:c>
      <x:c r="D28" s="21" t="str">
        <x:v>用更新时间、流水号还是游标取增量？同一时间点如何防漏？</x:v>
      </x:c>
      <x:c r="E28" s="21" t="str">
        <x:v>增量字段、排序、包含边界、回看窗口</x:v>
      </x:c>
      <x:c r="F28" s="23" t="str"/>
      <x:c r="G28" s="23" t="str">
        <x:v>未询问</x:v>
      </x:c>
      <x:c r="H28" s="23" t="str"/>
      <x:c r="I28" s="21" t="str">
        <x:v>数据中台 &gt; 采集规则</x:v>
      </x:c>
      <x:c r="J28" s="23" t="str"/>
      <x:c r="K28" s="24" t="str"/>
      <x:c r="L28" s="21" t="str">
        <x:v>无漏数、无重复入库</x:v>
      </x:c>
    </x:row>
    <x:row r="29" ht="56" customHeight="1">
      <x:c r="A29" s="22" t="n">
        <x:v>23</x:v>
      </x:c>
      <x:c r="B29" s="22" t="str">
        <x:v>重要</x:v>
      </x:c>
      <x:c r="C29" s="21" t="str">
        <x:v>删除与撤销语义</x:v>
      </x:c>
      <x:c r="D29" s="21" t="str">
        <x:v>源数据删除、作废或更正时怎样通知？</x:v>
      </x:c>
      <x:c r="E29" s="21" t="str">
        <x:v>删除标志、撤销记录、版本规则</x:v>
      </x:c>
      <x:c r="F29" s="23" t="str"/>
      <x:c r="G29" s="23" t="str">
        <x:v>未询问</x:v>
      </x:c>
      <x:c r="H29" s="23" t="str"/>
      <x:c r="I29" s="21" t="str">
        <x:v>数据中台 &gt; 采集规则</x:v>
      </x:c>
      <x:c r="J29" s="23" t="str"/>
      <x:c r="K29" s="24" t="str"/>
      <x:c r="L29" s="21" t="str">
        <x:v>不物理误删正式业务历史</x:v>
      </x:c>
    </x:row>
    <x:row r="30" ht="56" customHeight="1">
      <x:c r="A30" s="22" t="n">
        <x:v>24</x:v>
      </x:c>
      <x:c r="B30" s="22" t="str">
        <x:v>必拿</x:v>
      </x:c>
      <x:c r="C30" s="21" t="str">
        <x:v>分页或游标</x:v>
      </x:c>
      <x:c r="D30" s="21" t="str">
        <x:v>使用页码、偏移量还是游标？下一页从哪里取？</x:v>
      </x:c>
      <x:c r="E30" s="21" t="str">
        <x:v>分页参数、响应总数、下一游标路径</x:v>
      </x:c>
      <x:c r="F30" s="23" t="str"/>
      <x:c r="G30" s="23" t="str">
        <x:v>未询问</x:v>
      </x:c>
      <x:c r="H30" s="23" t="str"/>
      <x:c r="I30" s="21" t="str">
        <x:v>数据中台 &gt; 采集规则</x:v>
      </x:c>
      <x:c r="J30" s="23" t="str"/>
      <x:c r="K30" s="24" t="str"/>
      <x:c r="L30" s="21" t="str">
        <x:v>可完整遍历且无死循环</x:v>
      </x:c>
    </x:row>
    <x:row r="31" ht="56" customHeight="1">
      <x:c r="A31" s="22" t="n">
        <x:v>25</x:v>
      </x:c>
      <x:c r="B31" s="22" t="str">
        <x:v>重要</x:v>
      </x:c>
      <x:c r="C31" s="21" t="str">
        <x:v>单页上限和排序</x:v>
      </x:c>
      <x:c r="D31" s="21" t="str">
        <x:v>每页最多多少条？默认排序是否稳定？</x:v>
      </x:c>
      <x:c r="E31" s="21" t="str">
        <x:v>默认页大小、最大页大小、排序字段</x:v>
      </x:c>
      <x:c r="F31" s="23" t="str"/>
      <x:c r="G31" s="23" t="str">
        <x:v>未询问</x:v>
      </x:c>
      <x:c r="H31" s="23" t="str"/>
      <x:c r="I31" s="21" t="str">
        <x:v>数据中台 &gt; 采集规则</x:v>
      </x:c>
      <x:c r="J31" s="23" t="str"/>
      <x:c r="K31" s="24" t="str"/>
      <x:c r="L31" s="21" t="str">
        <x:v>分页期间数据变化不会明显漏取</x:v>
      </x:c>
    </x:row>
    <x:row r="32" ht="56" customHeight="1">
      <x:c r="A32" s="22" t="n">
        <x:v>26</x:v>
      </x:c>
      <x:c r="B32" s="22" t="str">
        <x:v>必拿</x:v>
      </x:c>
      <x:c r="C32" s="21" t="str">
        <x:v>成功码与数据根路径</x:v>
      </x:c>
      <x:c r="D32" s="21" t="str">
        <x:v>怎样判断成功？数据列表、总数、游标在返回哪里？</x:v>
      </x:c>
      <x:c r="E32" s="21" t="str">
        <x:v>状态码、业务成功码、字段路径</x:v>
      </x:c>
      <x:c r="F32" s="23" t="str"/>
      <x:c r="G32" s="23" t="str">
        <x:v>未询问</x:v>
      </x:c>
      <x:c r="H32" s="23" t="str"/>
      <x:c r="I32" s="21" t="str">
        <x:v>数据中台 &gt; 成功与字段路径</x:v>
      </x:c>
      <x:c r="J32" s="23" t="str"/>
      <x:c r="K32" s="24" t="str"/>
      <x:c r="L32" s="21" t="str">
        <x:v>成功和空数据可区分</x:v>
      </x:c>
    </x:row>
    <x:row r="33" ht="56" customHeight="1">
      <x:c r="A33" s="22" t="n">
        <x:v>27</x:v>
      </x:c>
      <x:c r="B33" s="22" t="str">
        <x:v>必拿</x:v>
      </x:c>
      <x:c r="C33" s="21" t="str">
        <x:v>错误码</x:v>
      </x:c>
      <x:c r="D33" s="21" t="str">
        <x:v>无权限、参数错、限流、系统忙分别返回什么？</x:v>
      </x:c>
      <x:c r="E33" s="21" t="str">
        <x:v>错误码表、中文含义、是否可重试</x:v>
      </x:c>
      <x:c r="F33" s="23" t="str"/>
      <x:c r="G33" s="23" t="str">
        <x:v>未询问</x:v>
      </x:c>
      <x:c r="H33" s="23" t="str"/>
      <x:c r="I33" s="21" t="str">
        <x:v>数据中台 &gt; 异常与重试</x:v>
      </x:c>
      <x:c r="J33" s="23" t="str"/>
      <x:c r="K33" s="24" t="str"/>
      <x:c r="L33" s="21" t="str">
        <x:v>可重试和不可重试明确</x:v>
      </x:c>
    </x:row>
    <x:row r="34" ht="56" customHeight="1">
      <x:c r="A34" s="22" t="n">
        <x:v>28</x:v>
      </x:c>
      <x:c r="B34" s="22" t="str">
        <x:v>重要</x:v>
      </x:c>
      <x:c r="C34" s="21" t="str">
        <x:v>限流与并发限制</x:v>
      </x:c>
      <x:c r="D34" s="21" t="str">
        <x:v>每分钟和同时最多调用多少次？</x:v>
      </x:c>
      <x:c r="E34" s="21" t="str">
        <x:v>频率、并发、封禁和恢复规则</x:v>
      </x:c>
      <x:c r="F34" s="23" t="str"/>
      <x:c r="G34" s="23" t="str">
        <x:v>未询问</x:v>
      </x:c>
      <x:c r="H34" s="23" t="str"/>
      <x:c r="I34" s="21" t="str">
        <x:v>数据中台 &gt; 调度</x:v>
      </x:c>
      <x:c r="J34" s="23" t="str"/>
      <x:c r="K34" s="24" t="str"/>
      <x:c r="L34" s="21" t="str">
        <x:v>不会触发平台封禁</x:v>
      </x:c>
    </x:row>
    <x:row r="35" ht="56" customHeight="1">
      <x:c r="A35" s="22" t="n">
        <x:v>29</x:v>
      </x:c>
      <x:c r="B35" s="22" t="str">
        <x:v>重要</x:v>
      </x:c>
      <x:c r="C35" s="21" t="str">
        <x:v>超时和响应大小</x:v>
      </x:c>
      <x:c r="D35" s="21" t="str">
        <x:v>正常响应时间、最大响应体和建议超时是多少？</x:v>
      </x:c>
      <x:c r="E35" s="21" t="str">
        <x:v>超时建议、最大大小、压缩规则</x:v>
      </x:c>
      <x:c r="F35" s="23" t="str"/>
      <x:c r="G35" s="23" t="str">
        <x:v>未询问</x:v>
      </x:c>
      <x:c r="H35" s="23" t="str"/>
      <x:c r="I35" s="21" t="str">
        <x:v>数据中台 &gt; 安全传输</x:v>
      </x:c>
      <x:c r="J35" s="23" t="str"/>
      <x:c r="K35" s="24" t="str"/>
      <x:c r="L35" s="21" t="str">
        <x:v>超大或超时响应安全失败</x:v>
      </x:c>
    </x:row>
    <x:row r="36" ht="56" customHeight="1">
      <x:c r="A36" s="22" t="n">
        <x:v>30</x:v>
      </x:c>
      <x:c r="B36" s="22" t="str">
        <x:v>重要</x:v>
      </x:c>
      <x:c r="C36" s="21" t="str">
        <x:v>重试策略</x:v>
      </x:c>
      <x:c r="D36" s="21" t="str">
        <x:v>哪些错误允许重试？间隔和最大次数是多少？</x:v>
      </x:c>
      <x:c r="E36" s="21" t="str">
        <x:v>重试条件、间隔、最大次数</x:v>
      </x:c>
      <x:c r="F36" s="23" t="str"/>
      <x:c r="G36" s="23" t="str">
        <x:v>未询问</x:v>
      </x:c>
      <x:c r="H36" s="23" t="str"/>
      <x:c r="I36" s="21" t="str">
        <x:v>数据中台 &gt; 异常与重试</x:v>
      </x:c>
      <x:c r="J36" s="23" t="str"/>
      <x:c r="K36" s="24" t="str"/>
      <x:c r="L36" s="21" t="str">
        <x:v>不对业务错误盲目重试</x:v>
      </x:c>
    </x:row>
    <x:row r="37" ht="56" customHeight="1">
      <x:c r="A37" s="22" t="n">
        <x:v>31</x:v>
      </x:c>
      <x:c r="B37" s="22" t="str">
        <x:v>必拿</x:v>
      </x:c>
      <x:c r="C37" s="21" t="str">
        <x:v>脱敏正常样例</x:v>
      </x:c>
      <x:c r="D37" s="21" t="str">
        <x:v>五类数据每类提供一份真实结构、已脱敏的正常返回。</x:v>
      </x:c>
      <x:c r="E37" s="21" t="str">
        <x:v>五类正常样例</x:v>
      </x:c>
      <x:c r="F37" s="23" t="str"/>
      <x:c r="G37" s="23" t="str">
        <x:v>未询问</x:v>
      </x:c>
      <x:c r="H37" s="23" t="str"/>
      <x:c r="I37" s="21" t="str">
        <x:v>数据中台 &gt; 入站预览</x:v>
      </x:c>
      <x:c r="J37" s="23" t="str"/>
      <x:c r="K37" s="24" t="str"/>
      <x:c r="L37" s="21" t="str">
        <x:v>样例可通过预览校验</x:v>
      </x:c>
    </x:row>
    <x:row r="38" ht="56" customHeight="1">
      <x:c r="A38" s="22" t="n">
        <x:v>32</x:v>
      </x:c>
      <x:c r="B38" s="22" t="str">
        <x:v>必拿</x:v>
      </x:c>
      <x:c r="C38" s="21" t="str">
        <x:v>异常与空数据样例</x:v>
      </x:c>
      <x:c r="D38" s="21" t="str">
        <x:v>请提供无数据、字段缺失、重复和错误码样例。</x:v>
      </x:c>
      <x:c r="E38" s="21" t="str">
        <x:v>异常、空集、重复样例</x:v>
      </x:c>
      <x:c r="F38" s="23" t="str"/>
      <x:c r="G38" s="23" t="str">
        <x:v>未询问</x:v>
      </x:c>
      <x:c r="H38" s="23" t="str"/>
      <x:c r="I38" s="21" t="str">
        <x:v>数据中台 &gt; 入站预览</x:v>
      </x:c>
      <x:c r="J38" s="23" t="str"/>
      <x:c r="K38" s="24" t="str"/>
      <x:c r="L38" s="21" t="str">
        <x:v>异常整批不直接入库</x:v>
      </x:c>
    </x:row>
    <x:row r="39" ht="56" customHeight="1">
      <x:c r="A39" s="22" t="n">
        <x:v>33</x:v>
      </x:c>
      <x:c r="B39" s="22" t="str">
        <x:v>重要</x:v>
      </x:c>
      <x:c r="C39" s="21" t="str">
        <x:v>测试数据核对表</x:v>
      </x:c>
      <x:c r="D39" s="21" t="str">
        <x:v>请给一组可人工核对的教师、项目、课程、收入、人次记录。</x:v>
      </x:c>
      <x:c r="E39" s="21" t="str">
        <x:v>源端查询截图或核对表</x:v>
      </x:c>
      <x:c r="F39" s="23" t="str"/>
      <x:c r="G39" s="23" t="str">
        <x:v>未询问</x:v>
      </x:c>
      <x:c r="H39" s="23" t="str"/>
      <x:c r="I39" s="21" t="str">
        <x:v>数据中台 &gt; 校验与确认</x:v>
      </x:c>
      <x:c r="J39" s="23" t="str"/>
      <x:c r="K39" s="24" t="str"/>
      <x:c r="L39" s="21" t="str">
        <x:v>双方记录数量和关键值一致</x:v>
      </x:c>
    </x:row>
    <x:row r="40" ht="56" customHeight="1">
      <x:c r="A40" s="22" t="n">
        <x:v>34</x:v>
      </x:c>
      <x:c r="B40" s="22" t="str">
        <x:v>必拿</x:v>
      </x:c>
      <x:c r="C40" s="21" t="str">
        <x:v>采集频率与时间窗</x:v>
      </x:c>
      <x:c r="D40" s="21" t="str">
        <x:v>多久同步一次？夜间是否有维护窗口？</x:v>
      </x:c>
      <x:c r="E40" s="21" t="str">
        <x:v>频率、运行时间、冻结窗口</x:v>
      </x:c>
      <x:c r="F40" s="23" t="str"/>
      <x:c r="G40" s="23" t="str">
        <x:v>未询问</x:v>
      </x:c>
      <x:c r="H40" s="23" t="str"/>
      <x:c r="I40" s="21" t="str">
        <x:v>数据中台 &gt; 计划任务</x:v>
      </x:c>
      <x:c r="J40" s="23" t="str"/>
      <x:c r="K40" s="24" t="str"/>
      <x:c r="L40" s="21" t="str">
        <x:v>调度不影响中台维护</x:v>
      </x:c>
    </x:row>
    <x:row r="41" ht="56" customHeight="1">
      <x:c r="A41" s="22" t="n">
        <x:v>35</x:v>
      </x:c>
      <x:c r="B41" s="22" t="str">
        <x:v>重要</x:v>
      </x:c>
      <x:c r="C41" s="21" t="str">
        <x:v>证书、域名和网络</x:v>
      </x:c>
      <x:c r="D41" s="21" t="str">
        <x:v>是否要求学校出口地址白名单或内部证书？</x:v>
      </x:c>
      <x:c r="E41" s="21" t="str">
        <x:v>域名、证书链、来源地址、端口</x:v>
      </x:c>
      <x:c r="F41" s="23" t="str"/>
      <x:c r="G41" s="23" t="str">
        <x:v>未询问</x:v>
      </x:c>
      <x:c r="H41" s="23" t="str"/>
      <x:c r="I41" s="21" t="str">
        <x:v>学校服务器 &gt; 网络与证书</x:v>
      </x:c>
      <x:c r="J41" s="23" t="str"/>
      <x:c r="K41" s="24" t="str"/>
      <x:c r="L41" s="21" t="str">
        <x:v>目标服务器可安全访问</x:v>
      </x:c>
    </x:row>
    <x:row r="42" ht="56" customHeight="1">
      <x:c r="A42" s="22" t="n">
        <x:v>36</x:v>
      </x:c>
      <x:c r="B42" s="22" t="str">
        <x:v>重要</x:v>
      </x:c>
      <x:c r="C42" s="21" t="str">
        <x:v>重定向与代理</x:v>
      </x:c>
      <x:c r="D42" s="21" t="str">
        <x:v>接口是否会跳转？学校服务器是否必须走代理？</x:v>
      </x:c>
      <x:c r="E42" s="21" t="str">
        <x:v>允许跳转规则、代理地址和责任人</x:v>
      </x:c>
      <x:c r="F42" s="23" t="str"/>
      <x:c r="G42" s="23" t="str">
        <x:v>未询问</x:v>
      </x:c>
      <x:c r="H42" s="23" t="str"/>
      <x:c r="I42" s="21" t="str">
        <x:v>学校服务器 &gt; 网络</x:v>
      </x:c>
      <x:c r="J42" s="23" t="str"/>
      <x:c r="K42" s="24" t="str"/>
      <x:c r="L42" s="21" t="str">
        <x:v>不跟随到未登记目标</x:v>
      </x:c>
    </x:row>
    <x:row r="43" ht="56" customHeight="1">
      <x:c r="A43" s="22" t="n">
        <x:v>37</x:v>
      </x:c>
      <x:c r="B43" s="22" t="str">
        <x:v>必拿</x:v>
      </x:c>
      <x:c r="C43" s="21" t="str">
        <x:v>审计与请求编号</x:v>
      </x:c>
      <x:c r="D43" s="21" t="str">
        <x:v>中台是否返回请求编号？双方日志保留多久？</x:v>
      </x:c>
      <x:c r="E43" s="21" t="str">
        <x:v>请求编号字段、日志留存和查询流程</x:v>
      </x:c>
      <x:c r="F43" s="23" t="str"/>
      <x:c r="G43" s="23" t="str">
        <x:v>未询问</x:v>
      </x:c>
      <x:c r="H43" s="23" t="str"/>
      <x:c r="I43" s="21" t="str">
        <x:v>数据中台 &gt; 审计</x:v>
      </x:c>
      <x:c r="J43" s="23" t="str"/>
      <x:c r="K43" s="24" t="str"/>
      <x:c r="L43" s="21" t="str">
        <x:v>单次调用可双向追查</x:v>
      </x:c>
    </x:row>
    <x:row r="44" ht="56" customHeight="1">
      <x:c r="A44" s="22" t="n">
        <x:v>38</x:v>
      </x:c>
      <x:c r="B44" s="22" t="str">
        <x:v>重要</x:v>
      </x:c>
      <x:c r="C44" s="21" t="str">
        <x:v>对账与补数</x:v>
      </x:c>
      <x:c r="D44" s="21" t="str">
        <x:v>发现漏数或错数时，如何按时间或编号重拉？</x:v>
      </x:c>
      <x:c r="E44" s="21" t="str">
        <x:v>补数申请、范围、审批和核对方式</x:v>
      </x:c>
      <x:c r="F44" s="23" t="str"/>
      <x:c r="G44" s="23" t="str">
        <x:v>未询问</x:v>
      </x:c>
      <x:c r="H44" s="23" t="str"/>
      <x:c r="I44" s="21" t="str">
        <x:v>数据中台 &gt; 异常恢复</x:v>
      </x:c>
      <x:c r="J44" s="23" t="str"/>
      <x:c r="K44" s="24" t="str"/>
      <x:c r="L44" s="21" t="str">
        <x:v>补数不覆盖正确历史</x:v>
      </x:c>
    </x:row>
    <x:row r="45" ht="56" customHeight="1">
      <x:c r="A45" s="22" t="n">
        <x:v>39</x:v>
      </x:c>
      <x:c r="B45" s="22" t="str">
        <x:v>重要</x:v>
      </x:c>
      <x:c r="C45" s="21" t="str">
        <x:v>数据责任归属</x:v>
      </x:c>
      <x:c r="D45" s="21" t="str">
        <x:v>五类数据各由哪个部门确认正确性？</x:v>
      </x:c>
      <x:c r="E45" s="21" t="str">
        <x:v>每类业务负责人和签字人</x:v>
      </x:c>
      <x:c r="F45" s="23" t="str"/>
      <x:c r="G45" s="23" t="str">
        <x:v>未询问</x:v>
      </x:c>
      <x:c r="H45" s="23" t="str"/>
      <x:c r="I45" s="21" t="str">
        <x:v>明日总表 &gt; 责任人</x:v>
      </x:c>
      <x:c r="J45" s="23" t="str"/>
      <x:c r="K45" s="24" t="str"/>
      <x:c r="L45" s="21" t="str">
        <x:v>技术成功不代替业务确认</x:v>
      </x:c>
    </x:row>
    <x:row r="46" ht="56" customHeight="1">
      <x:c r="A46" s="22" t="n">
        <x:v>40</x:v>
      </x:c>
      <x:c r="B46" s="22" t="str">
        <x:v>重要</x:v>
      </x:c>
      <x:c r="C46" s="21" t="str">
        <x:v>版本变更通知</x:v>
      </x:c>
      <x:c r="D46" s="21" t="str">
        <x:v>字段、地址或鉴权变化提前多久通知？</x:v>
      </x:c>
      <x:c r="E46" s="21" t="str">
        <x:v>通知机制、兼容期、联系人</x:v>
      </x:c>
      <x:c r="F46" s="23" t="str"/>
      <x:c r="G46" s="23" t="str">
        <x:v>未询问</x:v>
      </x:c>
      <x:c r="H46" s="23" t="str"/>
      <x:c r="I46" s="21" t="str">
        <x:v>数据中台 &gt; 责任人</x:v>
      </x:c>
      <x:c r="J46" s="23" t="str"/>
      <x:c r="K46" s="24" t="str"/>
      <x:c r="L46" s="21" t="str">
        <x:v>变更有窗口和回退方案</x:v>
      </x:c>
    </x:row>
    <x:row r="47" ht="56" customHeight="1">
      <x:c r="A47" s="22" t="n">
        <x:v>41</x:v>
      </x:c>
      <x:c r="B47" s="22" t="str">
        <x:v>必拿</x:v>
      </x:c>
      <x:c r="C47" s="21" t="str">
        <x:v>联调与验收口径</x:v>
      </x:c>
      <x:c r="D47" s="21" t="str">
        <x:v>五类接口各用什么场景和数量验收？</x:v>
      </x:c>
      <x:c r="E47" s="21" t="str">
        <x:v>验收样本、数量、准确率、签字人</x:v>
      </x:c>
      <x:c r="F47" s="23" t="str"/>
      <x:c r="G47" s="23" t="str">
        <x:v>未询问</x:v>
      </x:c>
      <x:c r="H47" s="23" t="str"/>
      <x:c r="I47" s="21" t="str">
        <x:v>数据中台 &gt; 验收</x:v>
      </x:c>
      <x:c r="J47" s="23" t="str"/>
      <x:c r="K47" s="24" t="str"/>
      <x:c r="L47" s="21" t="str">
        <x:v>预览、校验、确认入库全流程可核对</x:v>
      </x:c>
    </x:row>
  </x:sheetData>
  <x:mergeCells>
    <x:mergeCell ref="A1:L1"/>
    <x:mergeCell ref="A2:L2"/>
    <x:mergeCell ref="A4:L4"/>
  </x:mergeCells>
  <x:dataValidations count="2">
    <x:dataValidation type="list" sqref="G7:G47">
      <x:formula1>"未询问,已拿到,仅口头确认,对方补充,不适用"</x:formula1>
    </x:dataValidation>
    <x:dataValidation type="list" sqref="B7:B47">
      <x:formula1>"必拿,重要,后续"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E5BD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8" hidden="0" customWidth="1"/>
    <x:col min="3" max="3" width="21" hidden="0" customWidth="1"/>
    <x:col min="4" max="4" width="30" hidden="0" customWidth="1"/>
    <x:col min="5" max="5" width="26" hidden="0" customWidth="1"/>
    <x:col min="6" max="6" width="24" hidden="0" customWidth="1"/>
    <x:col min="7" max="7" width="13" hidden="0" customWidth="1"/>
    <x:col min="8" max="8" width="16" hidden="0" customWidth="1"/>
    <x:col min="9" max="9" width="26" hidden="0" customWidth="1"/>
    <x:col min="10" max="10" width="22" hidden="0" customWidth="1"/>
    <x:col min="11" max="11" width="14" hidden="0" customWidth="1"/>
    <x:col min="12" max="12" width="25" hidden="0" customWidth="1"/>
  </x:cols>
  <x:sheetData>
    <x:row r="1" ht="34" customHeight="1">
      <x:c r="A1" s="3" t="str">
        <x:v>湘培直通车资料清单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目标：十一类业务数据受控报送并取得可追踪回执；公开资料不能代替正式接口规范。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1" customHeight="1">
      <x:c r="A4" s="11" t="str">
        <x:v>填写规则：黄色列现场填写；真实密码、令牌、密钥、私钥禁止写入本表，只记录安全交付人和交付方式。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6" ht="32" customHeight="1">
      <x:c r="A6" s="17" t="str">
        <x:v>序号</x:v>
      </x:c>
      <x:c r="B6" s="17" t="str">
        <x:v>优先级</x:v>
      </x:c>
      <x:c r="C6" s="17" t="str">
        <x:v>资料或问题</x:v>
      </x:c>
      <x:c r="D6" s="17" t="str">
        <x:v>明天现场怎么问</x:v>
      </x:c>
      <x:c r="E6" s="17" t="str">
        <x:v>学校需提供或确认</x:v>
      </x:c>
      <x:c r="F6" s="17" t="str">
        <x:v>现场答复（可填写）</x:v>
      </x:c>
      <x:c r="G6" s="17" t="str">
        <x:v>当前状态</x:v>
      </x:c>
      <x:c r="H6" s="17" t="str">
        <x:v>学校责任人</x:v>
      </x:c>
      <x:c r="I6" s="17" t="str">
        <x:v>后续填到哪里或用于什么</x:v>
      </x:c>
      <x:c r="J6" s="17" t="str">
        <x:v>证据文件名或备注</x:v>
      </x:c>
      <x:c r="K6" s="17" t="str">
        <x:v>计划完成日期</x:v>
      </x:c>
      <x:c r="L6" s="17" t="str">
        <x:v>验证标准</x:v>
      </x:c>
    </x:row>
    <x:row r="7" ht="56" customHeight="1">
      <x:c r="A7" s="22" t="n">
        <x:v>1</x:v>
      </x:c>
      <x:c r="B7" s="22" t="str">
        <x:v>必拿</x:v>
      </x:c>
      <x:c r="C7" s="21" t="str">
        <x:v>省平台正式技术规范</x:v>
      </x:c>
      <x:c r="D7" s="21" t="str">
        <x:v>请提供湘培直通车当前正式接口文档和版本。</x:v>
      </x:c>
      <x:c r="E7" s="21" t="str">
        <x:v>正式文档、版本、发布日期、维护单位</x:v>
      </x:c>
      <x:c r="F7" s="23" t="str"/>
      <x:c r="G7" s="23" t="str">
        <x:v>未询问</x:v>
      </x:c>
      <x:c r="H7" s="23" t="str"/>
      <x:c r="I7" s="21" t="str">
        <x:v>湘培直通车 &gt; 基础参数</x:v>
      </x:c>
      <x:c r="J7" s="23" t="str"/>
      <x:c r="K7" s="24" t="str"/>
      <x:c r="L7" s="21" t="str">
        <x:v>不能用新闻介绍代替技术规范</x:v>
      </x:c>
    </x:row>
    <x:row r="8" ht="56" customHeight="1">
      <x:c r="A8" s="22" t="n">
        <x:v>2</x:v>
      </x:c>
      <x:c r="B8" s="22" t="str">
        <x:v>必拿</x:v>
      </x:c>
      <x:c r="C8" s="21" t="str">
        <x:v>业务主管与技术厂商</x:v>
      </x:c>
      <x:c r="D8" s="21" t="str">
        <x:v>省平台由哪个部门主管、哪个厂商实施？技术问题找谁？</x:v>
      </x:c>
      <x:c r="E8" s="21" t="str">
        <x:v>主管部门、厂商、技术联系人、升级路径</x:v>
      </x:c>
      <x:c r="F8" s="23" t="str"/>
      <x:c r="G8" s="23" t="str">
        <x:v>未询问</x:v>
      </x:c>
      <x:c r="H8" s="23" t="str"/>
      <x:c r="I8" s="21" t="str">
        <x:v>湘培直通车 &gt; 责任人</x:v>
      </x:c>
      <x:c r="J8" s="23" t="str"/>
      <x:c r="K8" s="24" t="str"/>
      <x:c r="L8" s="21" t="str">
        <x:v>责任边界明确</x:v>
      </x:c>
    </x:row>
    <x:row r="9" ht="56" customHeight="1">
      <x:c r="A9" s="22" t="n">
        <x:v>3</x:v>
      </x:c>
      <x:c r="B9" s="22" t="str">
        <x:v>必拿</x:v>
      </x:c>
      <x:c r="C9" s="21" t="str">
        <x:v>测试与正式地址</x:v>
      </x:c>
      <x:c r="D9" s="21" t="str">
        <x:v>联调地址和正式地址分别是什么？何时开放？</x:v>
      </x:c>
      <x:c r="E9" s="21" t="str">
        <x:v>两个固定安全地址、开放时间</x:v>
      </x:c>
      <x:c r="F9" s="23" t="str"/>
      <x:c r="G9" s="23" t="str">
        <x:v>未询问</x:v>
      </x:c>
      <x:c r="H9" s="23" t="str"/>
      <x:c r="I9" s="21" t="str">
        <x:v>湘培直通车 &gt; 对方系统地址</x:v>
      </x:c>
      <x:c r="J9" s="23" t="str"/>
      <x:c r="K9" s="24" t="str"/>
      <x:c r="L9" s="21" t="str">
        <x:v>测试和正式环境明确隔离</x:v>
      </x:c>
    </x:row>
    <x:row r="10" ht="56" customHeight="1">
      <x:c r="A10" s="22" t="n">
        <x:v>4</x:v>
      </x:c>
      <x:c r="B10" s="22" t="str">
        <x:v>必拿</x:v>
      </x:c>
      <x:c r="C10" s="21" t="str">
        <x:v>机构编码</x:v>
      </x:c>
      <x:c r="D10" s="21" t="str">
        <x:v>学校在平台上的机构编码是什么？测试与正式是否不同？</x:v>
      </x:c>
      <x:c r="E10" s="21" t="str">
        <x:v>学校或机构编码、编码规则</x:v>
      </x:c>
      <x:c r="F10" s="23" t="str"/>
      <x:c r="G10" s="23" t="str">
        <x:v>未询问</x:v>
      </x:c>
      <x:c r="H10" s="23" t="str"/>
      <x:c r="I10" s="21" t="str">
        <x:v>湘培直通车 &gt; 机构登记</x:v>
      </x:c>
      <x:c r="J10" s="23" t="str"/>
      <x:c r="K10" s="24" t="str"/>
      <x:c r="L10" s="21" t="str">
        <x:v>平台能识别本校</x:v>
      </x:c>
    </x:row>
    <x:row r="11" ht="56" customHeight="1">
      <x:c r="A11" s="22" t="n">
        <x:v>5</x:v>
      </x:c>
      <x:c r="B11" s="22" t="str">
        <x:v>必拿</x:v>
      </x:c>
      <x:c r="C11" s="21" t="str">
        <x:v>应用标识</x:v>
      </x:c>
      <x:c r="D11" s="21" t="str">
        <x:v>平台给本系统分配的应用标识是什么？</x:v>
      </x:c>
      <x:c r="E11" s="21" t="str">
        <x:v>测试和正式应用标识</x:v>
      </x:c>
      <x:c r="F11" s="23" t="str"/>
      <x:c r="G11" s="23" t="str">
        <x:v>未询问</x:v>
      </x:c>
      <x:c r="H11" s="23" t="str"/>
      <x:c r="I11" s="21" t="str">
        <x:v>湘培直通车 &gt; 机构登记</x:v>
      </x:c>
      <x:c r="J11" s="23" t="str"/>
      <x:c r="K11" s="24" t="str"/>
      <x:c r="L11" s="21" t="str">
        <x:v>应用与学校绑定正确</x:v>
      </x:c>
    </x:row>
    <x:row r="12" ht="56" customHeight="1">
      <x:c r="A12" s="22" t="n">
        <x:v>6</x:v>
      </x:c>
      <x:c r="B12" s="22" t="str">
        <x:v>必拿</x:v>
      </x:c>
      <x:c r="C12" s="21" t="str">
        <x:v>凭据安全交付</x:v>
      </x:c>
      <x:c r="D12" s="21" t="str">
        <x:v>应用密钥由谁在学校服务器配置？如何轮换或吊销？</x:v>
      </x:c>
      <x:c r="E12" s="21" t="str">
        <x:v>保管人、安全交付方式、轮换流程；不填真实值</x:v>
      </x:c>
      <x:c r="F12" s="23" t="str"/>
      <x:c r="G12" s="23" t="str">
        <x:v>未询问</x:v>
      </x:c>
      <x:c r="H12" s="23" t="str"/>
      <x:c r="I12" s="21" t="str">
        <x:v>学校服务器 &gt; 凭据管理</x:v>
      </x:c>
      <x:c r="J12" s="23" t="str"/>
      <x:c r="K12" s="24" t="str"/>
      <x:c r="L12" s="21" t="str">
        <x:v>明文不进入表格、网页、源码和日志</x:v>
      </x:c>
    </x:row>
    <x:row r="13" ht="56" customHeight="1">
      <x:c r="A13" s="22" t="n">
        <x:v>7</x:v>
      </x:c>
      <x:c r="B13" s="22" t="str">
        <x:v>必拿</x:v>
      </x:c>
      <x:c r="C13" s="21" t="str">
        <x:v>签名算法</x:v>
      </x:c>
      <x:c r="D13" s="21" t="str">
        <x:v>签名用什么算法和密钥类型？</x:v>
      </x:c>
      <x:c r="E13" s="21" t="str">
        <x:v>算法名称、密钥格式、密钥编号规则</x:v>
      </x:c>
      <x:c r="F13" s="23" t="str"/>
      <x:c r="G13" s="23" t="str">
        <x:v>未询问</x:v>
      </x:c>
      <x:c r="H13" s="23" t="str"/>
      <x:c r="I13" s="21" t="str">
        <x:v>湘培直通车 &gt; 签名规则</x:v>
      </x:c>
      <x:c r="J13" s="23" t="str"/>
      <x:c r="K13" s="24" t="str"/>
      <x:c r="L13" s="21" t="str">
        <x:v>系统可按正式算法配置</x:v>
      </x:c>
    </x:row>
    <x:row r="14" ht="56" customHeight="1">
      <x:c r="A14" s="22" t="n">
        <x:v>8</x:v>
      </x:c>
      <x:c r="B14" s="22" t="str">
        <x:v>必拿</x:v>
      </x:c>
      <x:c r="C14" s="21" t="str">
        <x:v>签名原文</x:v>
      </x:c>
      <x:c r="D14" s="21" t="str">
        <x:v>哪些字段参与签名，顺序、分隔符、空值和编码怎样处理？</x:v>
      </x:c>
      <x:c r="E14" s="21" t="str">
        <x:v>完整签名原文规范</x:v>
      </x:c>
      <x:c r="F14" s="23" t="str"/>
      <x:c r="G14" s="23" t="str">
        <x:v>未询问</x:v>
      </x:c>
      <x:c r="H14" s="23" t="str"/>
      <x:c r="I14" s="21" t="str">
        <x:v>湘培直通车 &gt; 签名规则</x:v>
      </x:c>
      <x:c r="J14" s="23" t="str"/>
      <x:c r="K14" s="24" t="str"/>
      <x:c r="L14" s="21" t="str">
        <x:v>与平台样例复算一致</x:v>
      </x:c>
    </x:row>
    <x:row r="15" ht="56" customHeight="1">
      <x:c r="A15" s="22" t="n">
        <x:v>9</x:v>
      </x:c>
      <x:c r="B15" s="22" t="str">
        <x:v>必拿</x:v>
      </x:c>
      <x:c r="C15" s="21" t="str">
        <x:v>签名放置位置</x:v>
      </x:c>
      <x:c r="D15" s="21" t="str">
        <x:v>签名、应用标识、机构编码放在请求头还是正文？</x:v>
      </x:c>
      <x:c r="E15" s="21" t="str">
        <x:v>参数名、位置、大小写规则</x:v>
      </x:c>
      <x:c r="F15" s="23" t="str"/>
      <x:c r="G15" s="23" t="str">
        <x:v>未询问</x:v>
      </x:c>
      <x:c r="H15" s="23" t="str"/>
      <x:c r="I15" s="21" t="str">
        <x:v>湘培直通车 &gt; 签名规则</x:v>
      </x:c>
      <x:c r="J15" s="23" t="str"/>
      <x:c r="K15" s="24" t="str"/>
      <x:c r="L15" s="21" t="str">
        <x:v>请求格式与文档一致</x:v>
      </x:c>
    </x:row>
    <x:row r="16" ht="56" customHeight="1">
      <x:c r="A16" s="22" t="n">
        <x:v>10</x:v>
      </x:c>
      <x:c r="B16" s="22" t="str">
        <x:v>必拿</x:v>
      </x:c>
      <x:c r="C16" s="21" t="str">
        <x:v>时间戳</x:v>
      </x:c>
      <x:c r="D16" s="21" t="str">
        <x:v>时间戳是秒、毫秒还是格式化时间？允许误差多少？</x:v>
      </x:c>
      <x:c r="E16" s="21" t="str">
        <x:v>参数名、格式、时区、允许偏差</x:v>
      </x:c>
      <x:c r="F16" s="23" t="str"/>
      <x:c r="G16" s="23" t="str">
        <x:v>未询问</x:v>
      </x:c>
      <x:c r="H16" s="23" t="str"/>
      <x:c r="I16" s="21" t="str">
        <x:v>湘培直通车 &gt; 防重放</x:v>
      </x:c>
      <x:c r="J16" s="23" t="str"/>
      <x:c r="K16" s="24" t="str"/>
      <x:c r="L16" s="21" t="str">
        <x:v>服务器时间同步后可验证</x:v>
      </x:c>
    </x:row>
    <x:row r="17" ht="56" customHeight="1">
      <x:c r="A17" s="22" t="n">
        <x:v>11</x:v>
      </x:c>
      <x:c r="B17" s="22" t="str">
        <x:v>必拿</x:v>
      </x:c>
      <x:c r="C17" s="21" t="str">
        <x:v>随机数</x:v>
      </x:c>
      <x:c r="D17" s="21" t="str">
        <x:v>随机数长度、字符范围和重复判定规则是什么？</x:v>
      </x:c>
      <x:c r="E17" s="21" t="str">
        <x:v>参数名、生成规则、有效期</x:v>
      </x:c>
      <x:c r="F17" s="23" t="str"/>
      <x:c r="G17" s="23" t="str">
        <x:v>未询问</x:v>
      </x:c>
      <x:c r="H17" s="23" t="str"/>
      <x:c r="I17" s="21" t="str">
        <x:v>湘培直通车 &gt; 防重放</x:v>
      </x:c>
      <x:c r="J17" s="23" t="str"/>
      <x:c r="K17" s="24" t="str"/>
      <x:c r="L17" s="21" t="str">
        <x:v>重复请求可被识别</x:v>
      </x:c>
    </x:row>
    <x:row r="18" ht="56" customHeight="1">
      <x:c r="A18" s="22" t="n">
        <x:v>12</x:v>
      </x:c>
      <x:c r="B18" s="22" t="str">
        <x:v>必拿</x:v>
      </x:c>
      <x:c r="C18" s="21" t="str">
        <x:v>幂等键</x:v>
      </x:c>
      <x:c r="D18" s="21" t="str">
        <x:v>一条业务重复报送时用哪个唯一键防重？</x:v>
      </x:c>
      <x:c r="E18" s="21" t="str">
        <x:v>参数名、生成规则、保存期限</x:v>
      </x:c>
      <x:c r="F18" s="23" t="str"/>
      <x:c r="G18" s="23" t="str">
        <x:v>未询问</x:v>
      </x:c>
      <x:c r="H18" s="23" t="str"/>
      <x:c r="I18" s="21" t="str">
        <x:v>湘培直通车 &gt; 报送规则</x:v>
      </x:c>
      <x:c r="J18" s="23" t="str"/>
      <x:c r="K18" s="24" t="str"/>
      <x:c r="L18" s="21" t="str">
        <x:v>重试不会生成重复业务</x:v>
      </x:c>
    </x:row>
    <x:row r="19" ht="56" customHeight="1">
      <x:c r="A19" s="22" t="n">
        <x:v>13</x:v>
      </x:c>
      <x:c r="B19" s="22" t="str">
        <x:v>必拿</x:v>
      </x:c>
      <x:c r="C19" s="21" t="str">
        <x:v>通用请求结构</x:v>
      </x:c>
      <x:c r="D19" s="21" t="str">
        <x:v>每次报送公共字段、业务字段和附件怎样组织？</x:v>
      </x:c>
      <x:c r="E19" s="21" t="str">
        <x:v>完整请求结构和字段说明</x:v>
      </x:c>
      <x:c r="F19" s="23" t="str"/>
      <x:c r="G19" s="23" t="str">
        <x:v>未询问</x:v>
      </x:c>
      <x:c r="H19" s="23" t="str"/>
      <x:c r="I19" s="21" t="str">
        <x:v>湘培直通车 &gt; 报送规则</x:v>
      </x:c>
      <x:c r="J19" s="23" t="str"/>
      <x:c r="K19" s="24" t="str"/>
      <x:c r="L19" s="21" t="str">
        <x:v>公共字段与业务字段明确</x:v>
      </x:c>
    </x:row>
    <x:row r="20" ht="56" customHeight="1">
      <x:c r="A20" s="22" t="n">
        <x:v>14</x:v>
      </x:c>
      <x:c r="B20" s="22" t="str">
        <x:v>必拿</x:v>
      </x:c>
      <x:c r="C20" s="21" t="str">
        <x:v>通用响应结构</x:v>
      </x:c>
      <x:c r="D20" s="21" t="str">
        <x:v>怎样判断接收、受理、成功或失败？</x:v>
      </x:c>
      <x:c r="E20" s="21" t="str">
        <x:v>状态码、业务码、消息、回执字段路径</x:v>
      </x:c>
      <x:c r="F20" s="23" t="str"/>
      <x:c r="G20" s="23" t="str">
        <x:v>未询问</x:v>
      </x:c>
      <x:c r="H20" s="23" t="str"/>
      <x:c r="I20" s="21" t="str">
        <x:v>湘培直通车 &gt; 回执规则</x:v>
      </x:c>
      <x:c r="J20" s="23" t="str"/>
      <x:c r="K20" s="24" t="str"/>
      <x:c r="L20" s="21" t="str">
        <x:v>接收不被误当成最终成功</x:v>
      </x:c>
    </x:row>
    <x:row r="21" ht="56" customHeight="1">
      <x:c r="A21" s="22" t="n">
        <x:v>15</x:v>
      </x:c>
      <x:c r="B21" s="22" t="str">
        <x:v>必拿</x:v>
      </x:c>
      <x:c r="C21" s="21" t="str">
        <x:v>回执号</x:v>
      </x:c>
      <x:c r="D21" s="21" t="str">
        <x:v>回执号何时产生？后续能否按回执查询状态？</x:v>
      </x:c>
      <x:c r="E21" s="21" t="str">
        <x:v>回执字段、查询地址、状态变化规则</x:v>
      </x:c>
      <x:c r="F21" s="23" t="str"/>
      <x:c r="G21" s="23" t="str">
        <x:v>未询问</x:v>
      </x:c>
      <x:c r="H21" s="23" t="str"/>
      <x:c r="I21" s="21" t="str">
        <x:v>湘培直通车 &gt; 回执规则</x:v>
      </x:c>
      <x:c r="J21" s="23" t="str"/>
      <x:c r="K21" s="24" t="str"/>
      <x:c r="L21" s="21" t="str">
        <x:v>每条报送可追踪</x:v>
      </x:c>
    </x:row>
    <x:row r="22" ht="56" customHeight="1">
      <x:c r="A22" s="22" t="n">
        <x:v>16</x:v>
      </x:c>
      <x:c r="B22" s="22" t="str">
        <x:v>必拿</x:v>
      </x:c>
      <x:c r="C22" s="21" t="str">
        <x:v>错误码</x:v>
      </x:c>
      <x:c r="D22" s="21" t="str">
        <x:v>参数错、签名错、重复、业务拒绝和系统忙分别是什么码？</x:v>
      </x:c>
      <x:c r="E22" s="21" t="str">
        <x:v>完整错误码表及是否可重试</x:v>
      </x:c>
      <x:c r="F22" s="23" t="str"/>
      <x:c r="G22" s="23" t="str">
        <x:v>未询问</x:v>
      </x:c>
      <x:c r="H22" s="23" t="str"/>
      <x:c r="I22" s="21" t="str">
        <x:v>湘培直通车 &gt; 异常与重试</x:v>
      </x:c>
      <x:c r="J22" s="23" t="str"/>
      <x:c r="K22" s="24" t="str"/>
      <x:c r="L22" s="21" t="str">
        <x:v>可重试性明确</x:v>
      </x:c>
    </x:row>
    <x:row r="23" ht="56" customHeight="1">
      <x:c r="A23" s="22" t="n">
        <x:v>17</x:v>
      </x:c>
      <x:c r="B23" s="22" t="str">
        <x:v>重要</x:v>
      </x:c>
      <x:c r="C23" s="21" t="str">
        <x:v>逐笔与批量</x:v>
      </x:c>
      <x:c r="D23" s="21" t="str">
        <x:v>哪些数据必须逐笔报送？是否支持批量？单批最多多少条？</x:v>
      </x:c>
      <x:c r="E23" s="21" t="str">
        <x:v>逐笔或批量规则、批次上限</x:v>
      </x:c>
      <x:c r="F23" s="23" t="str"/>
      <x:c r="G23" s="23" t="str">
        <x:v>未询问</x:v>
      </x:c>
      <x:c r="H23" s="23" t="str"/>
      <x:c r="I23" s="21" t="str">
        <x:v>湘培直通车 &gt; 报送规则</x:v>
      </x:c>
      <x:c r="J23" s="23" t="str"/>
      <x:c r="K23" s="24" t="str"/>
      <x:c r="L23" s="21" t="str">
        <x:v>按平台要求发送</x:v>
      </x:c>
    </x:row>
    <x:row r="24" ht="56" customHeight="1">
      <x:c r="A24" s="22" t="n">
        <x:v>18</x:v>
      </x:c>
      <x:c r="B24" s="22" t="str">
        <x:v>重要</x:v>
      </x:c>
      <x:c r="C24" s="21" t="str">
        <x:v>单条重试</x:v>
      </x:c>
      <x:c r="D24" s="21" t="str">
        <x:v>单条失败后允许重试几次、间隔多久？</x:v>
      </x:c>
      <x:c r="E24" s="21" t="str">
        <x:v>可重试错误、次数、间隔</x:v>
      </x:c>
      <x:c r="F24" s="23" t="str"/>
      <x:c r="G24" s="23" t="str">
        <x:v>未询问</x:v>
      </x:c>
      <x:c r="H24" s="23" t="str"/>
      <x:c r="I24" s="21" t="str">
        <x:v>湘培直通车 &gt; 同步任务</x:v>
      </x:c>
      <x:c r="J24" s="23" t="str"/>
      <x:c r="K24" s="24" t="str"/>
      <x:c r="L24" s="21" t="str">
        <x:v>保留原失败记录并创建新尝试</x:v>
      </x:c>
    </x:row>
    <x:row r="25" ht="56" customHeight="1">
      <x:c r="A25" s="22" t="n">
        <x:v>19</x:v>
      </x:c>
      <x:c r="B25" s="22" t="str">
        <x:v>重要</x:v>
      </x:c>
      <x:c r="C25" s="21" t="str">
        <x:v>批量补传</x:v>
      </x:c>
      <x:c r="D25" s="21" t="str">
        <x:v>一批中部分失败时，重发整批还是只发失败项？</x:v>
      </x:c>
      <x:c r="E25" s="21" t="str">
        <x:v>部分失败处理、批量补传规则</x:v>
      </x:c>
      <x:c r="F25" s="23" t="str"/>
      <x:c r="G25" s="23" t="str">
        <x:v>未询问</x:v>
      </x:c>
      <x:c r="H25" s="23" t="str"/>
      <x:c r="I25" s="21" t="str">
        <x:v>湘培直通车 &gt; 同步任务</x:v>
      </x:c>
      <x:c r="J25" s="23" t="str"/>
      <x:c r="K25" s="24" t="str"/>
      <x:c r="L25" s="21" t="str">
        <x:v>不重复成功项</x:v>
      </x:c>
    </x:row>
    <x:row r="26" ht="56" customHeight="1">
      <x:c r="A26" s="22" t="n">
        <x:v>20</x:v>
      </x:c>
      <x:c r="B26" s="22" t="str">
        <x:v>重要</x:v>
      </x:c>
      <x:c r="C26" s="21" t="str">
        <x:v>人工补传</x:v>
      </x:c>
      <x:c r="D26" s="21" t="str">
        <x:v>超过自动重试后，学校人员如何申请人工补传？</x:v>
      </x:c>
      <x:c r="E26" s="21" t="str">
        <x:v>审批人、操作窗口、理由和凭证要求</x:v>
      </x:c>
      <x:c r="F26" s="23" t="str"/>
      <x:c r="G26" s="23" t="str">
        <x:v>未询问</x:v>
      </x:c>
      <x:c r="H26" s="23" t="str"/>
      <x:c r="I26" s="21" t="str">
        <x:v>湘培直通车 &gt; 实施人员补传</x:v>
      </x:c>
      <x:c r="J26" s="23" t="str"/>
      <x:c r="K26" s="24" t="str"/>
      <x:c r="L26" s="21" t="str">
        <x:v>人工操作有权限和审计</x:v>
      </x:c>
    </x:row>
    <x:row r="27" ht="56" customHeight="1">
      <x:c r="A27" s="22" t="n">
        <x:v>21</x:v>
      </x:c>
      <x:c r="B27" s="22" t="str">
        <x:v>必拿</x:v>
      </x:c>
      <x:c r="C27" s="21" t="str">
        <x:v>培训项目数据</x:v>
      </x:c>
      <x:c r="D27" s="21" t="str">
        <x:v>项目何时上报？必填字段和唯一编号是什么？</x:v>
      </x:c>
      <x:c r="E27" s="21" t="str">
        <x:v>项目接口、字段字典、时点和样例</x:v>
      </x:c>
      <x:c r="F27" s="23" t="str"/>
      <x:c r="G27" s="23" t="str">
        <x:v>未询问</x:v>
      </x:c>
      <x:c r="H27" s="23" t="str"/>
      <x:c r="I27" s="21" t="str">
        <x:v>湘培直通车 &gt; 项目字段对应</x:v>
      </x:c>
      <x:c r="J27" s="23" t="str"/>
      <x:c r="K27" s="24" t="str"/>
      <x:c r="L27" s="21" t="str">
        <x:v>项目可受理并取得回执</x:v>
      </x:c>
    </x:row>
    <x:row r="28" ht="56" customHeight="1">
      <x:c r="A28" s="22" t="n">
        <x:v>22</x:v>
      </x:c>
      <x:c r="B28" s="22" t="str">
        <x:v>必拿</x:v>
      </x:c>
      <x:c r="C28" s="21" t="str">
        <x:v>课程数据</x:v>
      </x:c>
      <x:c r="D28" s="21" t="str">
        <x:v>课程何时上报？怎样关联项目？</x:v>
      </x:c>
      <x:c r="E28" s="21" t="str">
        <x:v>课程接口、字段字典、关联和样例</x:v>
      </x:c>
      <x:c r="F28" s="23" t="str"/>
      <x:c r="G28" s="23" t="str">
        <x:v>未询问</x:v>
      </x:c>
      <x:c r="H28" s="23" t="str"/>
      <x:c r="I28" s="21" t="str">
        <x:v>湘培直通车 &gt; 课程字段对应</x:v>
      </x:c>
      <x:c r="J28" s="23" t="str"/>
      <x:c r="K28" s="24" t="str"/>
      <x:c r="L28" s="21" t="str">
        <x:v>课程正确关联项目</x:v>
      </x:c>
    </x:row>
    <x:row r="29" ht="56" customHeight="1">
      <x:c r="A29" s="22" t="n">
        <x:v>23</x:v>
      </x:c>
      <x:c r="B29" s="22" t="str">
        <x:v>必拿</x:v>
      </x:c>
      <x:c r="C29" s="21" t="str">
        <x:v>培训计划数据</x:v>
      </x:c>
      <x:c r="D29" s="21" t="str">
        <x:v>计划何时上报？变更和取消怎样处理？</x:v>
      </x:c>
      <x:c r="E29" s="21" t="str">
        <x:v>计划接口、字段、状态、样例</x:v>
      </x:c>
      <x:c r="F29" s="23" t="str"/>
      <x:c r="G29" s="23" t="str">
        <x:v>未询问</x:v>
      </x:c>
      <x:c r="H29" s="23" t="str"/>
      <x:c r="I29" s="21" t="str">
        <x:v>湘培直通车 &gt; 计划字段对应</x:v>
      </x:c>
      <x:c r="J29" s="23" t="str"/>
      <x:c r="K29" s="24" t="str"/>
      <x:c r="L29" s="21" t="str">
        <x:v>计划变更可追踪</x:v>
      </x:c>
    </x:row>
    <x:row r="30" ht="56" customHeight="1">
      <x:c r="A30" s="22" t="n">
        <x:v>24</x:v>
      </x:c>
      <x:c r="B30" s="22" t="str">
        <x:v>必拿</x:v>
      </x:c>
      <x:c r="C30" s="21" t="str">
        <x:v>班级数据</x:v>
      </x:c>
      <x:c r="D30" s="21" t="str">
        <x:v>班级编码、人数、起止时间和状态有哪些要求？</x:v>
      </x:c>
      <x:c r="E30" s="21" t="str">
        <x:v>班级接口、字段字典、样例</x:v>
      </x:c>
      <x:c r="F30" s="23" t="str"/>
      <x:c r="G30" s="23" t="str">
        <x:v>未询问</x:v>
      </x:c>
      <x:c r="H30" s="23" t="str"/>
      <x:c r="I30" s="21" t="str">
        <x:v>湘培直通车 &gt; 班级字段对应</x:v>
      </x:c>
      <x:c r="J30" s="23" t="str"/>
      <x:c r="K30" s="24" t="str"/>
      <x:c r="L30" s="21" t="str">
        <x:v>班级与计划课程一致</x:v>
      </x:c>
    </x:row>
    <x:row r="31" ht="56" customHeight="1">
      <x:c r="A31" s="22" t="n">
        <x:v>25</x:v>
      </x:c>
      <x:c r="B31" s="22" t="str">
        <x:v>必拿</x:v>
      </x:c>
      <x:c r="C31" s="21" t="str">
        <x:v>教师授课数据</x:v>
      </x:c>
      <x:c r="D31" s="21" t="str">
        <x:v>授课教师、课程、学时、日期怎样关联？</x:v>
      </x:c>
      <x:c r="E31" s="21" t="str">
        <x:v>授课接口、字段字典、样例</x:v>
      </x:c>
      <x:c r="F31" s="23" t="str"/>
      <x:c r="G31" s="23" t="str">
        <x:v>未询问</x:v>
      </x:c>
      <x:c r="H31" s="23" t="str"/>
      <x:c r="I31" s="21" t="str">
        <x:v>湘培直通车 &gt; 授课字段对应</x:v>
      </x:c>
      <x:c r="J31" s="23" t="str"/>
      <x:c r="K31" s="24" t="str"/>
      <x:c r="L31" s="21" t="str">
        <x:v>教师身份与学时可核对</x:v>
      </x:c>
    </x:row>
    <x:row r="32" ht="56" customHeight="1">
      <x:c r="A32" s="22" t="n">
        <x:v>26</x:v>
      </x:c>
      <x:c r="B32" s="22" t="str">
        <x:v>必拿</x:v>
      </x:c>
      <x:c r="C32" s="21" t="str">
        <x:v>培训人次数据</x:v>
      </x:c>
      <x:c r="D32" s="21" t="str">
        <x:v>人员唯一编号和隐私字段怎样提供？</x:v>
      </x:c>
      <x:c r="E32" s="21" t="str">
        <x:v>人次接口、字段、脱敏与授权要求</x:v>
      </x:c>
      <x:c r="F32" s="23" t="str"/>
      <x:c r="G32" s="23" t="str">
        <x:v>未询问</x:v>
      </x:c>
      <x:c r="H32" s="23" t="str"/>
      <x:c r="I32" s="21" t="str">
        <x:v>湘培直通车 &gt; 人次字段对应</x:v>
      </x:c>
      <x:c r="J32" s="23" t="str"/>
      <x:c r="K32" s="24" t="str"/>
      <x:c r="L32" s="21" t="str">
        <x:v>个人信息最小化且合法</x:v>
      </x:c>
    </x:row>
    <x:row r="33" ht="56" customHeight="1">
      <x:c r="A33" s="22" t="n">
        <x:v>27</x:v>
      </x:c>
      <x:c r="B33" s="22" t="str">
        <x:v>必拿</x:v>
      </x:c>
      <x:c r="C33" s="21" t="str">
        <x:v>学习过程数据</x:v>
      </x:c>
      <x:c r="D33" s="21" t="str">
        <x:v>签到、进度、时长、作业等哪些过程必须上报？</x:v>
      </x:c>
      <x:c r="E33" s="21" t="str">
        <x:v>过程事件类型、时间、顺序和样例</x:v>
      </x:c>
      <x:c r="F33" s="23" t="str"/>
      <x:c r="G33" s="23" t="str">
        <x:v>未询问</x:v>
      </x:c>
      <x:c r="H33" s="23" t="str"/>
      <x:c r="I33" s="21" t="str">
        <x:v>湘培直通车 &gt; 学习过程字段对应</x:v>
      </x:c>
      <x:c r="J33" s="23" t="str"/>
      <x:c r="K33" s="24" t="str"/>
      <x:c r="L33" s="21" t="str">
        <x:v>过程记录完整且顺序正确</x:v>
      </x:c>
    </x:row>
    <x:row r="34" ht="56" customHeight="1">
      <x:c r="A34" s="22" t="n">
        <x:v>28</x:v>
      </x:c>
      <x:c r="B34" s="22" t="str">
        <x:v>必拿</x:v>
      </x:c>
      <x:c r="C34" s="21" t="str">
        <x:v>培训记录数据</x:v>
      </x:c>
      <x:c r="D34" s="21" t="str">
        <x:v>培训记录与人次、课程、班级如何关联？</x:v>
      </x:c>
      <x:c r="E34" s="21" t="str">
        <x:v>记录接口、字段、唯一编号、样例</x:v>
      </x:c>
      <x:c r="F34" s="23" t="str"/>
      <x:c r="G34" s="23" t="str">
        <x:v>未询问</x:v>
      </x:c>
      <x:c r="H34" s="23" t="str"/>
      <x:c r="I34" s="21" t="str">
        <x:v>湘培直通车 &gt; 培训记录字段对应</x:v>
      </x:c>
      <x:c r="J34" s="23" t="str"/>
      <x:c r="K34" s="24" t="str"/>
      <x:c r="L34" s="21" t="str">
        <x:v>关系链可追溯</x:v>
      </x:c>
    </x:row>
    <x:row r="35" ht="56" customHeight="1">
      <x:c r="A35" s="22" t="n">
        <x:v>29</x:v>
      </x:c>
      <x:c r="B35" s="22" t="str">
        <x:v>必拿</x:v>
      </x:c>
      <x:c r="C35" s="21" t="str">
        <x:v>考核结果数据</x:v>
      </x:c>
      <x:c r="D35" s="21" t="str">
        <x:v>分数、等级、是否通过和更正怎样上报？</x:v>
      </x:c>
      <x:c r="E35" s="21" t="str">
        <x:v>考核接口、字段、版本和样例</x:v>
      </x:c>
      <x:c r="F35" s="23" t="str"/>
      <x:c r="G35" s="23" t="str">
        <x:v>未询问</x:v>
      </x:c>
      <x:c r="H35" s="23" t="str"/>
      <x:c r="I35" s="21" t="str">
        <x:v>湘培直通车 &gt; 考核结果字段对应</x:v>
      </x:c>
      <x:c r="J35" s="23" t="str"/>
      <x:c r="K35" s="24" t="str"/>
      <x:c r="L35" s="21" t="str">
        <x:v>更正不覆盖审计历史</x:v>
      </x:c>
    </x:row>
    <x:row r="36" ht="56" customHeight="1">
      <x:c r="A36" s="22" t="n">
        <x:v>30</x:v>
      </x:c>
      <x:c r="B36" s="22" t="str">
        <x:v>必拿</x:v>
      </x:c>
      <x:c r="C36" s="21" t="str">
        <x:v>结业结果数据</x:v>
      </x:c>
      <x:c r="D36" s="21" t="str">
        <x:v>结业、未结业、退学等状态怎样表示？</x:v>
      </x:c>
      <x:c r="E36" s="21" t="str">
        <x:v>结业接口、状态代码、样例</x:v>
      </x:c>
      <x:c r="F36" s="23" t="str"/>
      <x:c r="G36" s="23" t="str">
        <x:v>未询问</x:v>
      </x:c>
      <x:c r="H36" s="23" t="str"/>
      <x:c r="I36" s="21" t="str">
        <x:v>湘培直通车 &gt; 结业结果字段对应</x:v>
      </x:c>
      <x:c r="J36" s="23" t="str"/>
      <x:c r="K36" s="24" t="str"/>
      <x:c r="L36" s="21" t="str">
        <x:v>结业状态可解释</x:v>
      </x:c>
    </x:row>
    <x:row r="37" ht="56" customHeight="1">
      <x:c r="A37" s="22" t="n">
        <x:v>31</x:v>
      </x:c>
      <x:c r="B37" s="22" t="str">
        <x:v>必拿</x:v>
      </x:c>
      <x:c r="C37" s="21" t="str">
        <x:v>证书信息数据</x:v>
      </x:c>
      <x:c r="D37" s="21" t="str">
        <x:v>证书编号、发证时间、附件或校验地址怎样上报？</x:v>
      </x:c>
      <x:c r="E37" s="21" t="str">
        <x:v>证书接口、字段、附件与样例</x:v>
      </x:c>
      <x:c r="F37" s="23" t="str"/>
      <x:c r="G37" s="23" t="str">
        <x:v>未询问</x:v>
      </x:c>
      <x:c r="H37" s="23" t="str"/>
      <x:c r="I37" s="21" t="str">
        <x:v>湘培直通车 &gt; 证书字段对应</x:v>
      </x:c>
      <x:c r="J37" s="23" t="str"/>
      <x:c r="K37" s="24" t="str"/>
      <x:c r="L37" s="21" t="str">
        <x:v>证书唯一且可追踪</x:v>
      </x:c>
    </x:row>
    <x:row r="38" ht="56" customHeight="1">
      <x:c r="A38" s="22" t="n">
        <x:v>32</x:v>
      </x:c>
      <x:c r="B38" s="22" t="str">
        <x:v>必拿</x:v>
      </x:c>
      <x:c r="C38" s="21" t="str">
        <x:v>十一类字段字典</x:v>
      </x:c>
      <x:c r="D38" s="21" t="str">
        <x:v>请把以上十一类的字段类型、长度、必填和代码值一次性提供。</x:v>
      </x:c>
      <x:c r="E38" s="21" t="str">
        <x:v>完整字段字典和代码表</x:v>
      </x:c>
      <x:c r="F38" s="23" t="str"/>
      <x:c r="G38" s="23" t="str">
        <x:v>未询问</x:v>
      </x:c>
      <x:c r="H38" s="23" t="str"/>
      <x:c r="I38" s="21" t="str">
        <x:v>湘培直通车 &gt; 字段对应</x:v>
      </x:c>
      <x:c r="J38" s="23" t="str"/>
      <x:c r="K38" s="24" t="str"/>
      <x:c r="L38" s="21" t="str">
        <x:v>十一类均可配置，不需改核心业务</x:v>
      </x:c>
    </x:row>
    <x:row r="39" ht="56" customHeight="1">
      <x:c r="A39" s="22" t="n">
        <x:v>33</x:v>
      </x:c>
      <x:c r="B39" s="22" t="str">
        <x:v>必拿</x:v>
      </x:c>
      <x:c r="C39" s="21" t="str">
        <x:v>唯一编号与依赖顺序</x:v>
      </x:c>
      <x:c r="D39" s="21" t="str">
        <x:v>项目、课程、计划、班级等先后依赖怎样规定？</x:v>
      </x:c>
      <x:c r="E39" s="21" t="str">
        <x:v>数据关系图、前置状态、唯一键</x:v>
      </x:c>
      <x:c r="F39" s="23" t="str"/>
      <x:c r="G39" s="23" t="str">
        <x:v>未询问</x:v>
      </x:c>
      <x:c r="H39" s="23" t="str"/>
      <x:c r="I39" s="21" t="str">
        <x:v>湘培直通车 &gt; 报送顺序</x:v>
      </x:c>
      <x:c r="J39" s="23" t="str"/>
      <x:c r="K39" s="24" t="str"/>
      <x:c r="L39" s="21" t="str">
        <x:v>不会因依赖缺失被拒</x:v>
      </x:c>
    </x:row>
    <x:row r="40" ht="56" customHeight="1">
      <x:c r="A40" s="22" t="n">
        <x:v>34</x:v>
      </x:c>
      <x:c r="B40" s="22" t="str">
        <x:v>重要</x:v>
      </x:c>
      <x:c r="C40" s="21" t="str">
        <x:v>更新、撤销和作废</x:v>
      </x:c>
      <x:c r="D40" s="21" t="str">
        <x:v>已上报数据修改或撤销用什么接口？</x:v>
      </x:c>
      <x:c r="E40" s="21" t="str">
        <x:v>更新、撤销、作废和版本规则</x:v>
      </x:c>
      <x:c r="F40" s="23" t="str"/>
      <x:c r="G40" s="23" t="str">
        <x:v>未询问</x:v>
      </x:c>
      <x:c r="H40" s="23" t="str"/>
      <x:c r="I40" s="21" t="str">
        <x:v>湘培直通车 &gt; 报送规则</x:v>
      </x:c>
      <x:c r="J40" s="23" t="str"/>
      <x:c r="K40" s="24" t="str"/>
      <x:c r="L40" s="21" t="str">
        <x:v>不直接覆盖历史失败和成功记录</x:v>
      </x:c>
    </x:row>
    <x:row r="41" ht="56" customHeight="1">
      <x:c r="A41" s="22" t="n">
        <x:v>35</x:v>
      </x:c>
      <x:c r="B41" s="22" t="str">
        <x:v>必拿</x:v>
      </x:c>
      <x:c r="C41" s="21" t="str">
        <x:v>正常计算样例</x:v>
      </x:c>
      <x:c r="D41" s="21" t="str">
        <x:v>请提供一组脱敏请求、签名原文、签名结果和响应。</x:v>
      </x:c>
      <x:c r="E41" s="21" t="str">
        <x:v>可复算的正常样例</x:v>
      </x:c>
      <x:c r="F41" s="23" t="str"/>
      <x:c r="G41" s="23" t="str">
        <x:v>未询问</x:v>
      </x:c>
      <x:c r="H41" s="23" t="str"/>
      <x:c r="I41" s="21" t="str">
        <x:v>湘培直通车 &gt; 样本校验</x:v>
      </x:c>
      <x:c r="J41" s="23" t="str"/>
      <x:c r="K41" s="24" t="str"/>
      <x:c r="L41" s="21" t="str">
        <x:v>本系统复算结果完全一致</x:v>
      </x:c>
    </x:row>
    <x:row r="42" ht="56" customHeight="1">
      <x:c r="A42" s="22" t="n">
        <x:v>36</x:v>
      </x:c>
      <x:c r="B42" s="22" t="str">
        <x:v>必拿</x:v>
      </x:c>
      <x:c r="C42" s="21" t="str">
        <x:v>失败与重复样例</x:v>
      </x:c>
      <x:c r="D42" s="21" t="str">
        <x:v>请提供签名错误、字段错误、重复提交和系统忙样例。</x:v>
      </x:c>
      <x:c r="E42" s="21" t="str">
        <x:v>四类异常样例</x:v>
      </x:c>
      <x:c r="F42" s="23" t="str"/>
      <x:c r="G42" s="23" t="str">
        <x:v>未询问</x:v>
      </x:c>
      <x:c r="H42" s="23" t="str"/>
      <x:c r="I42" s="21" t="str">
        <x:v>湘培直通车 &gt; 样本校验</x:v>
      </x:c>
      <x:c r="J42" s="23" t="str"/>
      <x:c r="K42" s="24" t="str"/>
      <x:c r="L42" s="21" t="str">
        <x:v>中文提示、重试和阻断符合规则</x:v>
      </x:c>
    </x:row>
    <x:row r="43" ht="56" customHeight="1">
      <x:c r="A43" s="22" t="n">
        <x:v>37</x:v>
      </x:c>
      <x:c r="B43" s="22" t="str">
        <x:v>重要</x:v>
      </x:c>
      <x:c r="C43" s="21" t="str">
        <x:v>附件上传规则</x:v>
      </x:c>
      <x:c r="D43" s="21" t="str">
        <x:v>是否需要附件？格式、大小、摘要和上传顺序是什么？</x:v>
      </x:c>
      <x:c r="E43" s="21" t="str">
        <x:v>附件类型、大小、校验、访问控制</x:v>
      </x:c>
      <x:c r="F43" s="23" t="str"/>
      <x:c r="G43" s="23" t="str">
        <x:v>未询问</x:v>
      </x:c>
      <x:c r="H43" s="23" t="str"/>
      <x:c r="I43" s="21" t="str">
        <x:v>湘培直通车 &gt; 报送规则</x:v>
      </x:c>
      <x:c r="J43" s="23" t="str"/>
      <x:c r="K43" s="24" t="str"/>
      <x:c r="L43" s="21" t="str">
        <x:v>附件不公开且权限受控</x:v>
      </x:c>
    </x:row>
    <x:row r="44" ht="56" customHeight="1">
      <x:c r="A44" s="22" t="n">
        <x:v>38</x:v>
      </x:c>
      <x:c r="B44" s="22" t="str">
        <x:v>重要</x:v>
      </x:c>
      <x:c r="C44" s="21" t="str">
        <x:v>限流、超时和大小</x:v>
      </x:c>
      <x:c r="D44" s="21" t="str">
        <x:v>接口频率、并发、超时和最大响应是多少？</x:v>
      </x:c>
      <x:c r="E44" s="21" t="str">
        <x:v>限制值和封禁恢复规则</x:v>
      </x:c>
      <x:c r="F44" s="23" t="str"/>
      <x:c r="G44" s="23" t="str">
        <x:v>未询问</x:v>
      </x:c>
      <x:c r="H44" s="23" t="str"/>
      <x:c r="I44" s="21" t="str">
        <x:v>湘培直通车 &gt; 安全传输</x:v>
      </x:c>
      <x:c r="J44" s="23" t="str"/>
      <x:c r="K44" s="24" t="str"/>
      <x:c r="L44" s="21" t="str">
        <x:v>不会盲目高频重试</x:v>
      </x:c>
    </x:row>
    <x:row r="45" ht="56" customHeight="1">
      <x:c r="A45" s="22" t="n">
        <x:v>39</x:v>
      </x:c>
      <x:c r="B45" s="22" t="str">
        <x:v>重要</x:v>
      </x:c>
      <x:c r="C45" s="21" t="str">
        <x:v>证书、网络和白名单</x:v>
      </x:c>
      <x:c r="D45" s="21" t="str">
        <x:v>省平台要放行学校哪个出口地址？目标域名端口是什么？</x:v>
      </x:c>
      <x:c r="E45" s="21" t="str">
        <x:v>来源地址、目标域名、端口、证书链</x:v>
      </x:c>
      <x:c r="F45" s="23" t="str"/>
      <x:c r="G45" s="23" t="str">
        <x:v>未询问</x:v>
      </x:c>
      <x:c r="H45" s="23" t="str"/>
      <x:c r="I45" s="21" t="str">
        <x:v>学校服务器 &gt; 网络开通</x:v>
      </x:c>
      <x:c r="J45" s="23" t="str"/>
      <x:c r="K45" s="24" t="str"/>
      <x:c r="L45" s="21" t="str">
        <x:v>目标服务器可安全访问</x:v>
      </x:c>
    </x:row>
    <x:row r="46" ht="56" customHeight="1">
      <x:c r="A46" s="22" t="n">
        <x:v>40</x:v>
      </x:c>
      <x:c r="B46" s="22" t="str">
        <x:v>重要</x:v>
      </x:c>
      <x:c r="C46" s="21" t="str">
        <x:v>状态查询或回调</x:v>
      </x:c>
      <x:c r="D46" s="21" t="str">
        <x:v>最终处理结果是主动查询还是平台回调？</x:v>
      </x:c>
      <x:c r="E46" s="21" t="str">
        <x:v>查询接口或回调登记、安全校验</x:v>
      </x:c>
      <x:c r="F46" s="23" t="str"/>
      <x:c r="G46" s="23" t="str">
        <x:v>未询问</x:v>
      </x:c>
      <x:c r="H46" s="23" t="str"/>
      <x:c r="I46" s="21" t="str">
        <x:v>湘培直通车 &gt; 回执规则</x:v>
      </x:c>
      <x:c r="J46" s="23" t="str"/>
      <x:c r="K46" s="24" t="str"/>
      <x:c r="L46" s="21" t="str">
        <x:v>最终状态可核对</x:v>
      </x:c>
    </x:row>
    <x:row r="47" ht="56" customHeight="1">
      <x:c r="A47" s="22" t="n">
        <x:v>41</x:v>
      </x:c>
      <x:c r="B47" s="22" t="str">
        <x:v>必拿</x:v>
      </x:c>
      <x:c r="C47" s="21" t="str">
        <x:v>审计与日志留存</x:v>
      </x:c>
      <x:c r="D47" s="21" t="str">
        <x:v>平台要求记录哪些请求信息？保留多久？</x:v>
      </x:c>
      <x:c r="E47" s="21" t="str">
        <x:v>请求编号、回执号、留存期、脱敏要求</x:v>
      </x:c>
      <x:c r="F47" s="23" t="str"/>
      <x:c r="G47" s="23" t="str">
        <x:v>未询问</x:v>
      </x:c>
      <x:c r="H47" s="23" t="str"/>
      <x:c r="I47" s="21" t="str">
        <x:v>湘培直通车 &gt; 审计</x:v>
      </x:c>
      <x:c r="J47" s="23" t="str"/>
      <x:c r="K47" s="24" t="str"/>
      <x:c r="L47" s="21" t="str">
        <x:v>能追查且不泄露密钥和个人数据</x:v>
      </x:c>
    </x:row>
    <x:row r="48" ht="56" customHeight="1">
      <x:c r="A48" s="22" t="n">
        <x:v>42</x:v>
      </x:c>
      <x:c r="B48" s="22" t="str">
        <x:v>重要</x:v>
      </x:c>
      <x:c r="C48" s="21" t="str">
        <x:v>平台维护和变更通知</x:v>
      </x:c>
      <x:c r="D48" s="21" t="str">
        <x:v>维护窗口和接口升级提前多久通知？</x:v>
      </x:c>
      <x:c r="E48" s="21" t="str">
        <x:v>维护时间、通知渠道、兼容期</x:v>
      </x:c>
      <x:c r="F48" s="23" t="str"/>
      <x:c r="G48" s="23" t="str">
        <x:v>未询问</x:v>
      </x:c>
      <x:c r="H48" s="23" t="str"/>
      <x:c r="I48" s="21" t="str">
        <x:v>湘培直通车 &gt; 责任人</x:v>
      </x:c>
      <x:c r="J48" s="23" t="str"/>
      <x:c r="K48" s="24" t="str"/>
      <x:c r="L48" s="21" t="str">
        <x:v>有切换和回退安排</x:v>
      </x:c>
    </x:row>
    <x:row r="49" ht="56" customHeight="1">
      <x:c r="A49" s="22" t="n">
        <x:v>43</x:v>
      </x:c>
      <x:c r="B49" s="22" t="str">
        <x:v>必拿</x:v>
      </x:c>
      <x:c r="C49" s="21" t="str">
        <x:v>联调账号和窗口</x:v>
      </x:c>
      <x:c r="D49" s="21" t="str">
        <x:v>联调由谁配合？什么时间可以发测试数据？</x:v>
      </x:c>
      <x:c r="E49" s="21" t="str">
        <x:v>联调负责人、时间、测试机构和数据规则</x:v>
      </x:c>
      <x:c r="F49" s="23" t="str"/>
      <x:c r="G49" s="23" t="str">
        <x:v>未询问</x:v>
      </x:c>
      <x:c r="H49" s="23" t="str"/>
      <x:c r="I49" s="21" t="str">
        <x:v>湘培直通车 &gt; 真实联调</x:v>
      </x:c>
      <x:c r="J49" s="23" t="str"/>
      <x:c r="K49" s="24" t="str"/>
      <x:c r="L49" s="21" t="str">
        <x:v>未获窗口不发送</x:v>
      </x:c>
    </x:row>
    <x:row r="50" ht="56" customHeight="1">
      <x:c r="A50" s="22" t="n">
        <x:v>44</x:v>
      </x:c>
      <x:c r="B50" s="22" t="str">
        <x:v>必拿</x:v>
      </x:c>
      <x:c r="C50" s="21" t="str">
        <x:v>业务验收与签字</x:v>
      </x:c>
      <x:c r="D50" s="21" t="str">
        <x:v>十一类哪些是本期必验？每类验多少条、谁确认？</x:v>
      </x:c>
      <x:c r="E50" s="21" t="str">
        <x:v>验收范围、样本量、准确率、签字人</x:v>
      </x:c>
      <x:c r="F50" s="23" t="str"/>
      <x:c r="G50" s="23" t="str">
        <x:v>未询问</x:v>
      </x:c>
      <x:c r="H50" s="23" t="str"/>
      <x:c r="I50" s="21" t="str">
        <x:v>湘培直通车 &gt; 验收</x:v>
      </x:c>
      <x:c r="J50" s="23" t="str"/>
      <x:c r="K50" s="24" t="str"/>
      <x:c r="L50" s="21" t="str">
        <x:v>回执、源数据和本地记录一致</x:v>
      </x:c>
    </x:row>
  </x:sheetData>
  <x:mergeCells>
    <x:mergeCell ref="A1:L1"/>
    <x:mergeCell ref="A2:L2"/>
    <x:mergeCell ref="A4:L4"/>
  </x:mergeCells>
  <x:dataValidations count="2">
    <x:dataValidation type="list" sqref="G7:G50">
      <x:formula1>"未询问,已拿到,仅口头确认,对方补充,不适用"</x:formula1>
    </x:dataValidation>
    <x:dataValidation type="list" sqref="B7:B50">
      <x:formula1>"必拿,重要,后续"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E5BD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8" hidden="0" customWidth="1"/>
    <x:col min="3" max="3" width="21" hidden="0" customWidth="1"/>
    <x:col min="4" max="4" width="30" hidden="0" customWidth="1"/>
    <x:col min="5" max="5" width="26" hidden="0" customWidth="1"/>
    <x:col min="6" max="6" width="24" hidden="0" customWidth="1"/>
    <x:col min="7" max="7" width="13" hidden="0" customWidth="1"/>
    <x:col min="8" max="8" width="16" hidden="0" customWidth="1"/>
    <x:col min="9" max="9" width="26" hidden="0" customWidth="1"/>
    <x:col min="10" max="10" width="22" hidden="0" customWidth="1"/>
    <x:col min="11" max="11" width="14" hidden="0" customWidth="1"/>
    <x:col min="12" max="12" width="25" hidden="0" customWidth="1"/>
  </x:cols>
  <x:sheetData>
    <x:row r="1" ht="34" customHeight="1">
      <x:c r="A1" s="3" t="str">
        <x:v>学校服务器部署资料清单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目标：学校自有服务器独立部署。你只收集和确认，服务器管理员负责提供环境与安全配置，我负责后续实施、验证和回退。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1" customHeight="1">
      <x:c r="A4" s="11" t="str">
        <x:v>填写规则：黄色列现场填写；真实密码、令牌、密钥、私钥禁止写入本表，只记录安全交付人和交付方式。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6" ht="32" customHeight="1">
      <x:c r="A6" s="17" t="str">
        <x:v>序号</x:v>
      </x:c>
      <x:c r="B6" s="17" t="str">
        <x:v>优先级</x:v>
      </x:c>
      <x:c r="C6" s="17" t="str">
        <x:v>资料或问题</x:v>
      </x:c>
      <x:c r="D6" s="17" t="str">
        <x:v>明天现场怎么问</x:v>
      </x:c>
      <x:c r="E6" s="17" t="str">
        <x:v>学校需提供或确认</x:v>
      </x:c>
      <x:c r="F6" s="17" t="str">
        <x:v>现场答复（可填写）</x:v>
      </x:c>
      <x:c r="G6" s="17" t="str">
        <x:v>当前状态</x:v>
      </x:c>
      <x:c r="H6" s="17" t="str">
        <x:v>学校责任人</x:v>
      </x:c>
      <x:c r="I6" s="17" t="str">
        <x:v>后续填到哪里或用于什么</x:v>
      </x:c>
      <x:c r="J6" s="17" t="str">
        <x:v>证据文件名或备注</x:v>
      </x:c>
      <x:c r="K6" s="17" t="str">
        <x:v>计划完成日期</x:v>
      </x:c>
      <x:c r="L6" s="17" t="str">
        <x:v>验证标准</x:v>
      </x:c>
    </x:row>
    <x:row r="7" ht="56" customHeight="1">
      <x:c r="A7" s="22" t="n">
        <x:v>1</x:v>
      </x:c>
      <x:c r="B7" s="22" t="str">
        <x:v>必拿</x:v>
      </x:c>
      <x:c r="C7" s="21" t="str">
        <x:v>服务器责任人</x:v>
      </x:c>
      <x:c r="D7" s="21" t="str">
        <x:v>请指定服务器、数据库、网络和安全各自负责人。</x:v>
      </x:c>
      <x:c r="E7" s="21" t="str">
        <x:v>姓名、部门、联系方式、可配合时间</x:v>
      </x:c>
      <x:c r="F7" s="23" t="str"/>
      <x:c r="G7" s="23" t="str">
        <x:v>未询问</x:v>
      </x:c>
      <x:c r="H7" s="23" t="str"/>
      <x:c r="I7" s="21" t="str">
        <x:v>部署联系人清单</x:v>
      </x:c>
      <x:c r="J7" s="23" t="str"/>
      <x:c r="K7" s="24" t="str"/>
      <x:c r="L7" s="21" t="str">
        <x:v>出现问题知道找谁</x:v>
      </x:c>
    </x:row>
    <x:row r="8" ht="56" customHeight="1">
      <x:c r="A8" s="22" t="n">
        <x:v>2</x:v>
      </x:c>
      <x:c r="B8" s="22" t="str">
        <x:v>必拿</x:v>
      </x:c>
      <x:c r="C8" s="21" t="str">
        <x:v>部署环境性质</x:v>
      </x:c>
      <x:c r="D8" s="21" t="str">
        <x:v>这是正式生产、试运行还是验收环境？是否另有测试环境？</x:v>
      </x:c>
      <x:c r="E8" s="21" t="str">
        <x:v>环境清单与用途，明确相互隔离</x:v>
      </x:c>
      <x:c r="F8" s="23" t="str"/>
      <x:c r="G8" s="23" t="str">
        <x:v>未询问</x:v>
      </x:c>
      <x:c r="H8" s="23" t="str"/>
      <x:c r="I8" s="21" t="str">
        <x:v>部署前环境核验</x:v>
      </x:c>
      <x:c r="J8" s="23" t="str"/>
      <x:c r="K8" s="24" t="str"/>
      <x:c r="L8" s="21" t="str">
        <x:v>不会把测试数据写入正式环境</x:v>
      </x:c>
    </x:row>
    <x:row r="9" ht="56" customHeight="1">
      <x:c r="A9" s="22" t="n">
        <x:v>3</x:v>
      </x:c>
      <x:c r="B9" s="22" t="str">
        <x:v>必拿</x:v>
      </x:c>
      <x:c r="C9" s="21" t="str">
        <x:v>服务器形态</x:v>
      </x:c>
      <x:c r="D9" s="21" t="str">
        <x:v>使用物理机、虚拟机还是学校私有云？</x:v>
      </x:c>
      <x:c r="E9" s="21" t="str">
        <x:v>资源平台、管理单位、开通流程</x:v>
      </x:c>
      <x:c r="F9" s="23" t="str"/>
      <x:c r="G9" s="23" t="str">
        <x:v>未询问</x:v>
      </x:c>
      <x:c r="H9" s="23" t="str"/>
      <x:c r="I9" s="21" t="str">
        <x:v>部署方案</x:v>
      </x:c>
      <x:c r="J9" s="23" t="str"/>
      <x:c r="K9" s="24" t="str"/>
      <x:c r="L9" s="21" t="str">
        <x:v>平台责任边界明确</x:v>
      </x:c>
    </x:row>
    <x:row r="10" ht="56" customHeight="1">
      <x:c r="A10" s="22" t="n">
        <x:v>4</x:v>
      </x:c>
      <x:c r="B10" s="22" t="str">
        <x:v>必拿</x:v>
      </x:c>
      <x:c r="C10" s="21" t="str">
        <x:v>操作系统</x:v>
      </x:c>
      <x:c r="D10" s="21" t="str">
        <x:v>学校允许的服务器操作系统、版本和处理器架构是什么？</x:v>
      </x:c>
      <x:c r="E10" s="21" t="str">
        <x:v>操作系统版本、架构、补丁策略</x:v>
      </x:c>
      <x:c r="F10" s="23" t="str"/>
      <x:c r="G10" s="23" t="str">
        <x:v>未询问</x:v>
      </x:c>
      <x:c r="H10" s="23" t="str"/>
      <x:c r="I10" s="21" t="str">
        <x:v>部署兼容性检查</x:v>
      </x:c>
      <x:c r="J10" s="23" t="str"/>
      <x:c r="K10" s="24" t="str"/>
      <x:c r="L10" s="21" t="str">
        <x:v>与交付包兼容</x:v>
      </x:c>
    </x:row>
    <x:row r="11" ht="56" customHeight="1">
      <x:c r="A11" s="22" t="n">
        <x:v>5</x:v>
      </x:c>
      <x:c r="B11" s="22" t="str">
        <x:v>必拿</x:v>
      </x:c>
      <x:c r="C11" s="21" t="str">
        <x:v>计算资源</x:v>
      </x:c>
      <x:c r="D11" s="21" t="str">
        <x:v>可分配多少处理器和内存？能否按压力结果扩容？</x:v>
      </x:c>
      <x:c r="E11" s="21" t="str">
        <x:v>处理器、内存、资源上限、扩容流程</x:v>
      </x:c>
      <x:c r="F11" s="23" t="str"/>
      <x:c r="G11" s="23" t="str">
        <x:v>未询问</x:v>
      </x:c>
      <x:c r="H11" s="23" t="str"/>
      <x:c r="I11" s="21" t="str">
        <x:v>容量规划</x:v>
      </x:c>
      <x:c r="J11" s="23" t="str"/>
      <x:c r="K11" s="24" t="str"/>
      <x:c r="L11" s="21" t="str">
        <x:v>满足验收前性能测试条件</x:v>
      </x:c>
    </x:row>
    <x:row r="12" ht="56" customHeight="1">
      <x:c r="A12" s="22" t="n">
        <x:v>6</x:v>
      </x:c>
      <x:c r="B12" s="22" t="str">
        <x:v>必拿</x:v>
      </x:c>
      <x:c r="C12" s="21" t="str">
        <x:v>磁盘与分区</x:v>
      </x:c>
      <x:c r="D12" s="21" t="str">
        <x:v>程序、数据库、上传文件、导出、日志各有多少空间？</x:v>
      </x:c>
      <x:c r="E12" s="21" t="str">
        <x:v>磁盘容量、挂载点、增长和告警阈值</x:v>
      </x:c>
      <x:c r="F12" s="23" t="str"/>
      <x:c r="G12" s="23" t="str">
        <x:v>未询问</x:v>
      </x:c>
      <x:c r="H12" s="23" t="str"/>
      <x:c r="I12" s="21" t="str">
        <x:v>存储规划</x:v>
      </x:c>
      <x:c r="J12" s="23" t="str"/>
      <x:c r="K12" s="24" t="str"/>
      <x:c r="L12" s="21" t="str">
        <x:v>数据和日志不会挤满系统盘</x:v>
      </x:c>
    </x:row>
    <x:row r="13" ht="56" customHeight="1">
      <x:c r="A13" s="22" t="n">
        <x:v>7</x:v>
      </x:c>
      <x:c r="B13" s="22" t="str">
        <x:v>必拿</x:v>
      </x:c>
      <x:c r="C13" s="21" t="str">
        <x:v>数据库</x:v>
      </x:c>
      <x:c r="D13" s="21" t="str">
        <x:v>学校指定什么数据库、版本和高可用方式？</x:v>
      </x:c>
      <x:c r="E13" s="21" t="str">
        <x:v>数据库产品、版本、地址、端口、字符集</x:v>
      </x:c>
      <x:c r="F13" s="23" t="str"/>
      <x:c r="G13" s="23" t="str">
        <x:v>未询问</x:v>
      </x:c>
      <x:c r="H13" s="23" t="str"/>
      <x:c r="I13" s="21" t="str">
        <x:v>数据库配置</x:v>
      </x:c>
      <x:c r="J13" s="23" t="str"/>
      <x:c r="K13" s="24" t="str"/>
      <x:c r="L13" s="21" t="str">
        <x:v>版本受支持且字符集统一</x:v>
      </x:c>
    </x:row>
    <x:row r="14" ht="56" customHeight="1">
      <x:c r="A14" s="22" t="n">
        <x:v>8</x:v>
      </x:c>
      <x:c r="B14" s="22" t="str">
        <x:v>必拿</x:v>
      </x:c>
      <x:c r="C14" s="21" t="str">
        <x:v>数据库账号交付</x:v>
      </x:c>
      <x:c r="D14" s="21" t="str">
        <x:v>应用专用账号由谁创建？权限怎样限制？</x:v>
      </x:c>
      <x:c r="E14" s="21" t="str">
        <x:v>账号名、权限范围、安全交付人；密码不填表</x:v>
      </x:c>
      <x:c r="F14" s="23" t="str"/>
      <x:c r="G14" s="23" t="str">
        <x:v>未询问</x:v>
      </x:c>
      <x:c r="H14" s="23" t="str"/>
      <x:c r="I14" s="21" t="str">
        <x:v>服务器安全配置</x:v>
      </x:c>
      <x:c r="J14" s="23" t="str"/>
      <x:c r="K14" s="24" t="str"/>
      <x:c r="L14" s="21" t="str">
        <x:v>不用数据库超级账号</x:v>
      </x:c>
    </x:row>
    <x:row r="15" ht="56" customHeight="1">
      <x:c r="A15" s="22" t="n">
        <x:v>9</x:v>
      </x:c>
      <x:c r="B15" s="22" t="str">
        <x:v>必拿</x:v>
      </x:c>
      <x:c r="C15" s="21" t="str">
        <x:v>数据库备份</x:v>
      </x:c>
      <x:c r="D15" s="21" t="str">
        <x:v>谁负责自动备份？频率、保留期和异地副本在哪里？</x:v>
      </x:c>
      <x:c r="E15" s="21" t="str">
        <x:v>备份计划、保留期、校验和责任人</x:v>
      </x:c>
      <x:c r="F15" s="23" t="str"/>
      <x:c r="G15" s="23" t="str">
        <x:v>未询问</x:v>
      </x:c>
      <x:c r="H15" s="23" t="str"/>
      <x:c r="I15" s="21" t="str">
        <x:v>备份策略</x:v>
      </x:c>
      <x:c r="J15" s="23" t="str"/>
      <x:c r="K15" s="24" t="str"/>
      <x:c r="L15" s="21" t="str">
        <x:v>数据库备份可读且有校验</x:v>
      </x:c>
    </x:row>
    <x:row r="16" ht="56" customHeight="1">
      <x:c r="A16" s="22" t="n">
        <x:v>10</x:v>
      </x:c>
      <x:c r="B16" s="22" t="str">
        <x:v>必拿</x:v>
      </x:c>
      <x:c r="C16" s="21" t="str">
        <x:v>上传文件备份</x:v>
      </x:c>
      <x:c r="D16" s="21" t="str">
        <x:v>附件、导入文件和导出文件怎样备份？</x:v>
      </x:c>
      <x:c r="E16" s="21" t="str">
        <x:v>目录、频率、保留期、恢复责任人</x:v>
      </x:c>
      <x:c r="F16" s="23" t="str"/>
      <x:c r="G16" s="23" t="str">
        <x:v>未询问</x:v>
      </x:c>
      <x:c r="H16" s="23" t="str"/>
      <x:c r="I16" s="21" t="str">
        <x:v>备份策略</x:v>
      </x:c>
      <x:c r="J16" s="23" t="str"/>
      <x:c r="K16" s="24" t="str"/>
      <x:c r="L16" s="21" t="str">
        <x:v>文件与数据库时间点可对应</x:v>
      </x:c>
    </x:row>
    <x:row r="17" ht="56" customHeight="1">
      <x:c r="A17" s="22" t="n">
        <x:v>11</x:v>
      </x:c>
      <x:c r="B17" s="22" t="str">
        <x:v>必拿</x:v>
      </x:c>
      <x:c r="C17" s="21" t="str">
        <x:v>恢复演练</x:v>
      </x:c>
      <x:c r="D17" s="21" t="str">
        <x:v>学校能提供隔离空环境做恢复演练吗？</x:v>
      </x:c>
      <x:c r="E17" s="21" t="str">
        <x:v>演练环境、时间、验收人</x:v>
      </x:c>
      <x:c r="F17" s="23" t="str"/>
      <x:c r="G17" s="23" t="str">
        <x:v>未询问</x:v>
      </x:c>
      <x:c r="H17" s="23" t="str"/>
      <x:c r="I17" s="21" t="str">
        <x:v>恢复验证</x:v>
      </x:c>
      <x:c r="J17" s="23" t="str"/>
      <x:c r="K17" s="24" t="str"/>
      <x:c r="L17" s="21" t="str">
        <x:v>能恢复且不向外发送任务</x:v>
      </x:c>
    </x:row>
    <x:row r="18" ht="56" customHeight="1">
      <x:c r="A18" s="22" t="n">
        <x:v>12</x:v>
      </x:c>
      <x:c r="B18" s="22" t="str">
        <x:v>必拿</x:v>
      </x:c>
      <x:c r="C18" s="21" t="str">
        <x:v>正式域名</x:v>
      </x:c>
      <x:c r="D18" s="21" t="str">
        <x:v>学校给系统分配的正式域名是什么？内外网如何访问？</x:v>
      </x:c>
      <x:c r="E18" s="21" t="str">
        <x:v>正式域名、访问范围、启用日期</x:v>
      </x:c>
      <x:c r="F18" s="23" t="str"/>
      <x:c r="G18" s="23" t="str">
        <x:v>未询问</x:v>
      </x:c>
      <x:c r="H18" s="23" t="str"/>
      <x:c r="I18" s="21" t="str">
        <x:v>反向代理和前端地址</x:v>
      </x:c>
      <x:c r="J18" s="23" t="str"/>
      <x:c r="K18" s="24" t="str"/>
      <x:c r="L18" s="21" t="str">
        <x:v>深层页面刷新正常</x:v>
      </x:c>
    </x:row>
    <x:row r="19" ht="56" customHeight="1">
      <x:c r="A19" s="22" t="n">
        <x:v>13</x:v>
      </x:c>
      <x:c r="B19" s="22" t="str">
        <x:v>必拿</x:v>
      </x:c>
      <x:c r="C19" s="21" t="str">
        <x:v>域名解析</x:v>
      </x:c>
      <x:c r="D19" s="21" t="str">
        <x:v>域名由谁解析到哪台服务器？切换窗口是什么？</x:v>
      </x:c>
      <x:c r="E19" s="21" t="str">
        <x:v>解析负责人、记录、时效和回退方式</x:v>
      </x:c>
      <x:c r="F19" s="23" t="str"/>
      <x:c r="G19" s="23" t="str">
        <x:v>未询问</x:v>
      </x:c>
      <x:c r="H19" s="23" t="str"/>
      <x:c r="I19" s="21" t="str">
        <x:v>发布切换</x:v>
      </x:c>
      <x:c r="J19" s="23" t="str"/>
      <x:c r="K19" s="24" t="str"/>
      <x:c r="L19" s="21" t="str">
        <x:v>切换可回退</x:v>
      </x:c>
    </x:row>
    <x:row r="20" ht="56" customHeight="1">
      <x:c r="A20" s="22" t="n">
        <x:v>14</x:v>
      </x:c>
      <x:c r="B20" s="22" t="str">
        <x:v>必拿</x:v>
      </x:c>
      <x:c r="C20" s="21" t="str">
        <x:v>安全证书</x:v>
      </x:c>
      <x:c r="D20" s="21" t="str">
        <x:v>证书由学校提供还是申请？谁负责续期？</x:v>
      </x:c>
      <x:c r="E20" s="21" t="str">
        <x:v>证书链、私钥安全交付方式、到期日、责任人</x:v>
      </x:c>
      <x:c r="F20" s="23" t="str"/>
      <x:c r="G20" s="23" t="str">
        <x:v>未询问</x:v>
      </x:c>
      <x:c r="H20" s="23" t="str"/>
      <x:c r="I20" s="21" t="str">
        <x:v>安全传输配置</x:v>
      </x:c>
      <x:c r="J20" s="23" t="str"/>
      <x:c r="K20" s="24" t="str"/>
      <x:c r="L20" s="21" t="str">
        <x:v>证书有效且私钥不进入源码</x:v>
      </x:c>
    </x:row>
    <x:row r="21" ht="56" customHeight="1">
      <x:c r="A21" s="22" t="n">
        <x:v>15</x:v>
      </x:c>
      <x:c r="B21" s="22" t="str">
        <x:v>必拿</x:v>
      </x:c>
      <x:c r="C21" s="21" t="str">
        <x:v>反向代理</x:v>
      </x:c>
      <x:c r="D21" s="21" t="str">
        <x:v>学校指定什么入口代理或负载均衡？</x:v>
      </x:c>
      <x:c r="E21" s="21" t="str">
        <x:v>产品、版本、配置责任人、真实来源地址传递规则</x:v>
      </x:c>
      <x:c r="F21" s="23" t="str"/>
      <x:c r="G21" s="23" t="str">
        <x:v>未询问</x:v>
      </x:c>
      <x:c r="H21" s="23" t="str"/>
      <x:c r="I21" s="21" t="str">
        <x:v>部署配置</x:v>
      </x:c>
      <x:c r="J21" s="23" t="str"/>
      <x:c r="K21" s="24" t="str"/>
      <x:c r="L21" s="21" t="str">
        <x:v>请求编号和来源记录正确</x:v>
      </x:c>
    </x:row>
    <x:row r="22" ht="56" customHeight="1">
      <x:c r="A22" s="22" t="n">
        <x:v>16</x:v>
      </x:c>
      <x:c r="B22" s="22" t="str">
        <x:v>必拿</x:v>
      </x:c>
      <x:c r="C22" s="21" t="str">
        <x:v>入站端口</x:v>
      </x:c>
      <x:c r="D22" s="21" t="str">
        <x:v>用户访问系统需要开放哪些入口？</x:v>
      </x:c>
      <x:c r="E22" s="21" t="str">
        <x:v>域名、协议、端口、来源网段</x:v>
      </x:c>
      <x:c r="F22" s="23" t="str"/>
      <x:c r="G22" s="23" t="str">
        <x:v>未询问</x:v>
      </x:c>
      <x:c r="H22" s="23" t="str"/>
      <x:c r="I22" s="21" t="str">
        <x:v>防火墙申请</x:v>
      </x:c>
      <x:c r="J22" s="23" t="str"/>
      <x:c r="K22" s="24" t="str"/>
      <x:c r="L22" s="21" t="str">
        <x:v>只开放必要端口</x:v>
      </x:c>
    </x:row>
    <x:row r="23" ht="56" customHeight="1">
      <x:c r="A23" s="22" t="n">
        <x:v>17</x:v>
      </x:c>
      <x:c r="B23" s="22" t="str">
        <x:v>必拿</x:v>
      </x:c>
      <x:c r="C23" s="21" t="str">
        <x:v>出站网络</x:v>
      </x:c>
      <x:c r="D23" s="21" t="str">
        <x:v>服务器是否允许访问统一认证、数据中台和湘培直通车？</x:v>
      </x:c>
      <x:c r="E23" s="21" t="str">
        <x:v>每个目标域名、端口、代理和出口地址</x:v>
      </x:c>
      <x:c r="F23" s="23" t="str"/>
      <x:c r="G23" s="23" t="str">
        <x:v>未询问</x:v>
      </x:c>
      <x:c r="H23" s="23" t="str"/>
      <x:c r="I23" s="21" t="str">
        <x:v>防火墙和白名单申请</x:v>
      </x:c>
      <x:c r="J23" s="23" t="str"/>
      <x:c r="K23" s="24" t="str"/>
      <x:c r="L23" s="21" t="str">
        <x:v>三类目标逐项验证</x:v>
      </x:c>
    </x:row>
    <x:row r="24" ht="56" customHeight="1">
      <x:c r="A24" s="22" t="n">
        <x:v>18</x:v>
      </x:c>
      <x:c r="B24" s="22" t="str">
        <x:v>重要</x:v>
      </x:c>
      <x:c r="C24" s="21" t="str">
        <x:v>固定出口地址</x:v>
      </x:c>
      <x:c r="D24" s="21" t="str">
        <x:v>对方平台做白名单时，学校服务器的固定出口地址是什么？</x:v>
      </x:c>
      <x:c r="E24" s="21" t="str">
        <x:v>出口地址和网络负责人</x:v>
      </x:c>
      <x:c r="F24" s="23" t="str"/>
      <x:c r="G24" s="23" t="str">
        <x:v>未询问</x:v>
      </x:c>
      <x:c r="H24" s="23" t="str"/>
      <x:c r="I24" s="21" t="str">
        <x:v>三大接口白名单</x:v>
      </x:c>
      <x:c r="J24" s="23" t="str"/>
      <x:c r="K24" s="24" t="str"/>
      <x:c r="L24" s="21" t="str">
        <x:v>地址稳定且用途明确</x:v>
      </x:c>
    </x:row>
    <x:row r="25" ht="56" customHeight="1">
      <x:c r="A25" s="22" t="n">
        <x:v>19</x:v>
      </x:c>
      <x:c r="B25" s="22" t="str">
        <x:v>重要</x:v>
      </x:c>
      <x:c r="C25" s="21" t="str">
        <x:v>代理服务器</x:v>
      </x:c>
      <x:c r="D25" s="21" t="str">
        <x:v>访问外部平台是否必须经过学校代理？</x:v>
      </x:c>
      <x:c r="E25" s="21" t="str">
        <x:v>代理地址、认证方式、安全交付人</x:v>
      </x:c>
      <x:c r="F25" s="23" t="str"/>
      <x:c r="G25" s="23" t="str">
        <x:v>未询问</x:v>
      </x:c>
      <x:c r="H25" s="23" t="str"/>
      <x:c r="I25" s="21" t="str">
        <x:v>网络配置</x:v>
      </x:c>
      <x:c r="J25" s="23" t="str"/>
      <x:c r="K25" s="24" t="str"/>
      <x:c r="L25" s="21" t="str">
        <x:v>代理凭据不写入表格或源码</x:v>
      </x:c>
    </x:row>
    <x:row r="26" ht="56" customHeight="1">
      <x:c r="A26" s="22" t="n">
        <x:v>20</x:v>
      </x:c>
      <x:c r="B26" s="22" t="str">
        <x:v>必拿</x:v>
      </x:c>
      <x:c r="C26" s="21" t="str">
        <x:v>时间同步</x:v>
      </x:c>
      <x:c r="D26" s="21" t="str">
        <x:v>服务器使用哪个时间同步源？能否保持北京时间准确？</x:v>
      </x:c>
      <x:c r="E26" s="21" t="str">
        <x:v>时间源、时区、同步策略、误差告警</x:v>
      </x:c>
      <x:c r="F26" s="23" t="str"/>
      <x:c r="G26" s="23" t="str">
        <x:v>未询问</x:v>
      </x:c>
      <x:c r="H26" s="23" t="str"/>
      <x:c r="I26" s="21" t="str">
        <x:v>签名和防重放</x:v>
      </x:c>
      <x:c r="J26" s="23" t="str"/>
      <x:c r="K26" s="24" t="str"/>
      <x:c r="L26" s="21" t="str">
        <x:v>时钟误差满足接口要求</x:v>
      </x:c>
    </x:row>
    <x:row r="27" ht="56" customHeight="1">
      <x:c r="A27" s="22" t="n">
        <x:v>21</x:v>
      </x:c>
      <x:c r="B27" s="22" t="str">
        <x:v>必拿</x:v>
      </x:c>
      <x:c r="C27" s="21" t="str">
        <x:v>远程维护方式</x:v>
      </x:c>
      <x:c r="D27" s="21" t="str">
        <x:v>实施人员通过堡垒机、虚拟专网还是现场维护？</x:v>
      </x:c>
      <x:c r="E27" s="21" t="str">
        <x:v>接入流程、专用账号、审批和时间窗</x:v>
      </x:c>
      <x:c r="F27" s="23" t="str"/>
      <x:c r="G27" s="23" t="str">
        <x:v>未询问</x:v>
      </x:c>
      <x:c r="H27" s="23" t="str"/>
      <x:c r="I27" s="21" t="str">
        <x:v>部署实施</x:v>
      </x:c>
      <x:c r="J27" s="23" t="str"/>
      <x:c r="K27" s="24" t="str"/>
      <x:c r="L27" s="21" t="str">
        <x:v>最小权限且可审计</x:v>
      </x:c>
    </x:row>
    <x:row r="28" ht="56" customHeight="1">
      <x:c r="A28" s="22" t="n">
        <x:v>22</x:v>
      </x:c>
      <x:c r="B28" s="22" t="str">
        <x:v>必拿</x:v>
      </x:c>
      <x:c r="C28" s="21" t="str">
        <x:v>部署账号</x:v>
      </x:c>
      <x:c r="D28" s="21" t="str">
        <x:v>请创建范围受限的专用部署账号，不使用共享管理员账号。</x:v>
      </x:c>
      <x:c r="E28" s="21" t="str">
        <x:v>账号、授权目录和服务范围；密码另行交付</x:v>
      </x:c>
      <x:c r="F28" s="23" t="str"/>
      <x:c r="G28" s="23" t="str">
        <x:v>未询问</x:v>
      </x:c>
      <x:c r="H28" s="23" t="str"/>
      <x:c r="I28" s="21" t="str">
        <x:v>部署实施</x:v>
      </x:c>
      <x:c r="J28" s="23" t="str"/>
      <x:c r="K28" s="24" t="str"/>
      <x:c r="L28" s="21" t="str">
        <x:v>只能操作目标系统</x:v>
      </x:c>
    </x:row>
    <x:row r="29" ht="56" customHeight="1">
      <x:c r="A29" s="22" t="n">
        <x:v>23</x:v>
      </x:c>
      <x:c r="B29" s="22" t="str">
        <x:v>必拿</x:v>
      </x:c>
      <x:c r="C29" s="21" t="str">
        <x:v>程序目录与服务名</x:v>
      </x:c>
      <x:c r="D29" s="21" t="str">
        <x:v>学校对程序安装目录和服务名称有无统一规范？</x:v>
      </x:c>
      <x:c r="E29" s="21" t="str">
        <x:v>目标目录、服务名、运行账号</x:v>
      </x:c>
      <x:c r="F29" s="23" t="str"/>
      <x:c r="G29" s="23" t="str">
        <x:v>未询问</x:v>
      </x:c>
      <x:c r="H29" s="23" t="str"/>
      <x:c r="I29" s="21" t="str">
        <x:v>部署脚本参数</x:v>
      </x:c>
      <x:c r="J29" s="23" t="str"/>
      <x:c r="K29" s="24" t="str"/>
      <x:c r="L29" s="21" t="str">
        <x:v>与其他系统不混目录不混服务</x:v>
      </x:c>
    </x:row>
    <x:row r="30" ht="56" customHeight="1">
      <x:c r="A30" s="22" t="n">
        <x:v>24</x:v>
      </x:c>
      <x:c r="B30" s="22" t="str">
        <x:v>重要</x:v>
      </x:c>
      <x:c r="C30" s="21" t="str">
        <x:v>容器或离线安装限制</x:v>
      </x:c>
      <x:c r="D30" s="21" t="str">
        <x:v>学校是否允许容器？能否访问软件源？</x:v>
      </x:c>
      <x:c r="E30" s="21" t="str">
        <x:v>容器政策、离线依赖流程、镜像扫描要求</x:v>
      </x:c>
      <x:c r="F30" s="23" t="str"/>
      <x:c r="G30" s="23" t="str">
        <x:v>未询问</x:v>
      </x:c>
      <x:c r="H30" s="23" t="str"/>
      <x:c r="I30" s="21" t="str">
        <x:v>交付包选择</x:v>
      </x:c>
      <x:c r="J30" s="23" t="str"/>
      <x:c r="K30" s="24" t="str"/>
      <x:c r="L30" s="21" t="str">
        <x:v>在断网条件下也可安装</x:v>
      </x:c>
    </x:row>
    <x:row r="31" ht="56" customHeight="1">
      <x:c r="A31" s="22" t="n">
        <x:v>25</x:v>
      </x:c>
      <x:c r="B31" s="22" t="str">
        <x:v>必拿</x:v>
      </x:c>
      <x:c r="C31" s="21" t="str">
        <x:v>密钥保管</x:v>
      </x:c>
      <x:c r="D31" s="21" t="str">
        <x:v>三大接口密钥和系统密钥由哪个岗位保管和轮换？</x:v>
      </x:c>
      <x:c r="E31" s="21" t="str">
        <x:v>保管人、安全配置位置、轮换和应急吊销流程</x:v>
      </x:c>
      <x:c r="F31" s="23" t="str"/>
      <x:c r="G31" s="23" t="str">
        <x:v>未询问</x:v>
      </x:c>
      <x:c r="H31" s="23" t="str"/>
      <x:c r="I31" s="21" t="str">
        <x:v>服务器秘密配置</x:v>
      </x:c>
      <x:c r="J31" s="23" t="str"/>
      <x:c r="K31" s="24" t="str"/>
      <x:c r="L31" s="21" t="str">
        <x:v>前端和普通数据库不保存明文</x:v>
      </x:c>
    </x:row>
    <x:row r="32" ht="56" customHeight="1">
      <x:c r="A32" s="22" t="n">
        <x:v>26</x:v>
      </x:c>
      <x:c r="B32" s="22" t="str">
        <x:v>必拿</x:v>
      </x:c>
      <x:c r="C32" s="21" t="str">
        <x:v>日志目录与留存</x:v>
      </x:c>
      <x:c r="D32" s="21" t="str">
        <x:v>应用、接口、安全审计日志保留多久，存放在哪里？</x:v>
      </x:c>
      <x:c r="E32" s="21" t="str">
        <x:v>目录、留存期、容量和查阅权限</x:v>
      </x:c>
      <x:c r="F32" s="23" t="str"/>
      <x:c r="G32" s="23" t="str">
        <x:v>未询问</x:v>
      </x:c>
      <x:c r="H32" s="23" t="str"/>
      <x:c r="I32" s="21" t="str">
        <x:v>日志配置</x:v>
      </x:c>
      <x:c r="J32" s="23" t="str"/>
      <x:c r="K32" s="24" t="str"/>
      <x:c r="L32" s="21" t="str">
        <x:v>可追溯且敏感字段脱敏</x:v>
      </x:c>
    </x:row>
    <x:row r="33" ht="56" customHeight="1">
      <x:c r="A33" s="22" t="n">
        <x:v>27</x:v>
      </x:c>
      <x:c r="B33" s="22" t="str">
        <x:v>重要</x:v>
      </x:c>
      <x:c r="C33" s="21" t="str">
        <x:v>集中日志与监控</x:v>
      </x:c>
      <x:c r="D33" s="21" t="str">
        <x:v>是否接入学校监控或日志平台？告警发给谁？</x:v>
      </x:c>
      <x:c r="E33" s="21" t="str">
        <x:v>接入方式、告警联系人、阈值</x:v>
      </x:c>
      <x:c r="F33" s="23" t="str"/>
      <x:c r="G33" s="23" t="str">
        <x:v>未询问</x:v>
      </x:c>
      <x:c r="H33" s="23" t="str"/>
      <x:c r="I33" s="21" t="str">
        <x:v>运维监控</x:v>
      </x:c>
      <x:c r="J33" s="23" t="str"/>
      <x:c r="K33" s="24" t="str"/>
      <x:c r="L33" s="21" t="str">
        <x:v>服务、磁盘、备份和异常可告警</x:v>
      </x:c>
    </x:row>
    <x:row r="34" ht="56" customHeight="1">
      <x:c r="A34" s="22" t="n">
        <x:v>28</x:v>
      </x:c>
      <x:c r="B34" s="22" t="str">
        <x:v>重要</x:v>
      </x:c>
      <x:c r="C34" s="21" t="str">
        <x:v>安全软件限制</x:v>
      </x:c>
      <x:c r="D34" s="21" t="str">
        <x:v>杀毒、防火墙、网页防护是否会拦截服务、上传或接口调用？</x:v>
      </x:c>
      <x:c r="E34" s="21" t="str">
        <x:v>安全软件、扫描策略、例外申请流程</x:v>
      </x:c>
      <x:c r="F34" s="23" t="str"/>
      <x:c r="G34" s="23" t="str">
        <x:v>未询问</x:v>
      </x:c>
      <x:c r="H34" s="23" t="str"/>
      <x:c r="I34" s="21" t="str">
        <x:v>部署兼容性</x:v>
      </x:c>
      <x:c r="J34" s="23" t="str"/>
      <x:c r="K34" s="24" t="str"/>
      <x:c r="L34" s="21" t="str">
        <x:v>不通过关闭安全功能解决问题</x:v>
      </x:c>
    </x:row>
    <x:row r="35" ht="56" customHeight="1">
      <x:c r="A35" s="22" t="n">
        <x:v>29</x:v>
      </x:c>
      <x:c r="B35" s="22" t="str">
        <x:v>必拿</x:v>
      </x:c>
      <x:c r="C35" s="21" t="str">
        <x:v>个人数据要求</x:v>
      </x:c>
      <x:c r="D35" s="21" t="str">
        <x:v>测试和正式数据如何分开？哪些字段必须脱敏？</x:v>
      </x:c>
      <x:c r="E35" s="21" t="str">
        <x:v>数据分类、脱敏、访问和导出审批规则</x:v>
      </x:c>
      <x:c r="F35" s="23" t="str"/>
      <x:c r="G35" s="23" t="str">
        <x:v>未询问</x:v>
      </x:c>
      <x:c r="H35" s="23" t="str"/>
      <x:c r="I35" s="21" t="str">
        <x:v>数据安全</x:v>
      </x:c>
      <x:c r="J35" s="23" t="str"/>
      <x:c r="K35" s="24" t="str"/>
      <x:c r="L35" s="21" t="str">
        <x:v>演示和测试不使用未授权真实数据</x:v>
      </x:c>
    </x:row>
    <x:row r="36" ht="56" customHeight="1">
      <x:c r="A36" s="22" t="n">
        <x:v>30</x:v>
      </x:c>
      <x:c r="B36" s="22" t="str">
        <x:v>重要</x:v>
      </x:c>
      <x:c r="C36" s="21" t="str">
        <x:v>邮件或通知能力</x:v>
      </x:c>
      <x:c r="D36" s="21" t="str">
        <x:v>系统通知是否需要学校邮件或消息平台？本期是否启用？</x:v>
      </x:c>
      <x:c r="E36" s="21" t="str">
        <x:v>服务地址、发件规则、责任人或确认不启用</x:v>
      </x:c>
      <x:c r="F36" s="23" t="str"/>
      <x:c r="G36" s="23" t="str">
        <x:v>未询问</x:v>
      </x:c>
      <x:c r="H36" s="23" t="str"/>
      <x:c r="I36" s="21" t="str">
        <x:v>通知配置</x:v>
      </x:c>
      <x:c r="J36" s="23" t="str"/>
      <x:c r="K36" s="24" t="str"/>
      <x:c r="L36" s="21" t="str">
        <x:v>未配置时不伪造发送成功</x:v>
      </x:c>
    </x:row>
    <x:row r="37" ht="56" customHeight="1">
      <x:c r="A37" s="22" t="n">
        <x:v>31</x:v>
      </x:c>
      <x:c r="B37" s="22" t="str">
        <x:v>必拿</x:v>
      </x:c>
      <x:c r="C37" s="21" t="str">
        <x:v>部署时间窗</x:v>
      </x:c>
      <x:c r="D37" s="21" t="str">
        <x:v>何时允许安装、重启目标服务和切换域名？</x:v>
      </x:c>
      <x:c r="E37" s="21" t="str">
        <x:v>日期、时间、审批人、回退截止时间</x:v>
      </x:c>
      <x:c r="F37" s="23" t="str"/>
      <x:c r="G37" s="23" t="str">
        <x:v>未询问</x:v>
      </x:c>
      <x:c r="H37" s="23" t="str"/>
      <x:c r="I37" s="21" t="str">
        <x:v>发布计划</x:v>
      </x:c>
      <x:c r="J37" s="23" t="str"/>
      <x:c r="K37" s="24" t="str"/>
      <x:c r="L37" s="21" t="str">
        <x:v>不影响其他学校系统</x:v>
      </x:c>
    </x:row>
    <x:row r="38" ht="56" customHeight="1">
      <x:c r="A38" s="22" t="n">
        <x:v>32</x:v>
      </x:c>
      <x:c r="B38" s="22" t="str">
        <x:v>必拿</x:v>
      </x:c>
      <x:c r="C38" s="21" t="str">
        <x:v>上线保护点</x:v>
      </x:c>
      <x:c r="D38" s="21" t="str">
        <x:v>上线前由谁完成数据库、文件、配置和旧版本备份？</x:v>
      </x:c>
      <x:c r="E38" s="21" t="str">
        <x:v>保护点位置、时间、校验、恢复责任人</x:v>
      </x:c>
      <x:c r="F38" s="23" t="str"/>
      <x:c r="G38" s="23" t="str">
        <x:v>未询问</x:v>
      </x:c>
      <x:c r="H38" s="23" t="str"/>
      <x:c r="I38" s="21" t="str">
        <x:v>安全发布</x:v>
      </x:c>
      <x:c r="J38" s="23" t="str"/>
      <x:c r="K38" s="24" t="str"/>
      <x:c r="L38" s="21" t="str">
        <x:v>没有有效保护点不切换</x:v>
      </x:c>
    </x:row>
    <x:row r="39" ht="56" customHeight="1">
      <x:c r="A39" s="22" t="n">
        <x:v>33</x:v>
      </x:c>
      <x:c r="B39" s="22" t="str">
        <x:v>必拿</x:v>
      </x:c>
      <x:c r="C39" s="21" t="str">
        <x:v>回退方式</x:v>
      </x:c>
      <x:c r="D39" s="21" t="str">
        <x:v>发布异常时怎样切回旧版本？数据库如何保持兼容？</x:v>
      </x:c>
      <x:c r="E39" s="21" t="str">
        <x:v>代码回退路径、服务切换、数据库处理原则</x:v>
      </x:c>
      <x:c r="F39" s="23" t="str"/>
      <x:c r="G39" s="23" t="str">
        <x:v>未询问</x:v>
      </x:c>
      <x:c r="H39" s="23" t="str"/>
      <x:c r="I39" s="21" t="str">
        <x:v>安全发布</x:v>
      </x:c>
      <x:c r="J39" s="23" t="str"/>
      <x:c r="K39" s="24" t="str"/>
      <x:c r="L39" s="21" t="str">
        <x:v>无需覆盖最新业务数据即可回退代码</x:v>
      </x:c>
    </x:row>
    <x:row r="40" ht="56" customHeight="1">
      <x:c r="A40" s="22" t="n">
        <x:v>34</x:v>
      </x:c>
      <x:c r="B40" s="22" t="str">
        <x:v>必拿</x:v>
      </x:c>
      <x:c r="C40" s="21" t="str">
        <x:v>浏览器与终端范围</x:v>
      </x:c>
      <x:c r="D40" s="21" t="str">
        <x:v>学校办公电脑主要用哪些浏览器和分辨率？</x:v>
      </x:c>
      <x:c r="E40" s="21" t="str">
        <x:v>浏览器版本、终端类型、网络区域</x:v>
      </x:c>
      <x:c r="F40" s="23" t="str"/>
      <x:c r="G40" s="23" t="str">
        <x:v>未询问</x:v>
      </x:c>
      <x:c r="H40" s="23" t="str"/>
      <x:c r="I40" s="21" t="str">
        <x:v>前端验收</x:v>
      </x:c>
      <x:c r="J40" s="23" t="str"/>
      <x:c r="K40" s="24" t="str"/>
      <x:c r="L40" s="21" t="str">
        <x:v>客户常用终端显示正常</x:v>
      </x:c>
    </x:row>
    <x:row r="41" ht="56" customHeight="1">
      <x:c r="A41" s="22" t="n">
        <x:v>35</x:v>
      </x:c>
      <x:c r="B41" s="22" t="str">
        <x:v>必拿</x:v>
      </x:c>
      <x:c r="C41" s="21" t="str">
        <x:v>容量验收环境</x:v>
      </x:c>
      <x:c r="D41" s="21" t="str">
        <x:v>3000 人在线、100 人并发在哪里测试？是否与生产隔离？</x:v>
      </x:c>
      <x:c r="E41" s="21" t="str">
        <x:v>测试环境、数据、时间、审批与监控</x:v>
      </x:c>
      <x:c r="F41" s="23" t="str"/>
      <x:c r="G41" s="23" t="str">
        <x:v>未询问</x:v>
      </x:c>
      <x:c r="H41" s="23" t="str"/>
      <x:c r="I41" s="21" t="str">
        <x:v>性能验收</x:v>
      </x:c>
      <x:c r="J41" s="23" t="str"/>
      <x:c r="K41" s="24" t="str"/>
      <x:c r="L41" s="21" t="str">
        <x:v>不擅自对公网生产压测</x:v>
      </x:c>
    </x:row>
    <x:row r="42" ht="56" customHeight="1">
      <x:c r="A42" s="22" t="n">
        <x:v>36</x:v>
      </x:c>
      <x:c r="B42" s="22" t="str">
        <x:v>必拿</x:v>
      </x:c>
      <x:c r="C42" s="21" t="str">
        <x:v>性能口径</x:v>
      </x:c>
      <x:c r="D42" s="21" t="str">
        <x:v>普通页面不超过 3 秒、复杂统计不超过 5 秒具体从哪里计时？</x:v>
      </x:c>
      <x:c r="E42" s="21" t="str">
        <x:v>场景、数据量、网络位置、统计方法</x:v>
      </x:c>
      <x:c r="F42" s="23" t="str"/>
      <x:c r="G42" s="23" t="str">
        <x:v>未询问</x:v>
      </x:c>
      <x:c r="H42" s="23" t="str"/>
      <x:c r="I42" s="21" t="str">
        <x:v>性能验收</x:v>
      </x:c>
      <x:c r="J42" s="23" t="str"/>
      <x:c r="K42" s="24" t="str"/>
      <x:c r="L42" s="21" t="str">
        <x:v>双方使用同一口径</x:v>
      </x:c>
    </x:row>
    <x:row r="43" ht="56" customHeight="1">
      <x:c r="A43" s="22" t="n">
        <x:v>37</x:v>
      </x:c>
      <x:c r="B43" s="22" t="str">
        <x:v>重要</x:v>
      </x:c>
      <x:c r="C43" s="21" t="str">
        <x:v>保修与运维交接</x:v>
      </x:c>
      <x:c r="D43" s="21" t="str">
        <x:v>上线后故障由谁报、谁接、怎样分级？</x:v>
      </x:c>
      <x:c r="E43" s="21" t="str">
        <x:v>报障入口、联系人、服务时间和升级路径</x:v>
      </x:c>
      <x:c r="F43" s="23" t="str"/>
      <x:c r="G43" s="23" t="str">
        <x:v>未询问</x:v>
      </x:c>
      <x:c r="H43" s="23" t="str"/>
      <x:c r="I43" s="21" t="str">
        <x:v>运维交接</x:v>
      </x:c>
      <x:c r="J43" s="23" t="str"/>
      <x:c r="K43" s="24" t="str"/>
      <x:c r="L43" s="21" t="str">
        <x:v>符合采购服务响应要求</x:v>
      </x:c>
    </x:row>
    <x:row r="44" ht="56" customHeight="1">
      <x:c r="A44" s="22" t="n">
        <x:v>38</x:v>
      </x:c>
      <x:c r="B44" s="22" t="str">
        <x:v>必拿</x:v>
      </x:c>
      <x:c r="C44" s="21" t="str">
        <x:v>最终验收与签字</x:v>
      </x:c>
      <x:c r="D44" s="21" t="str">
        <x:v>服务器、网络、备份、安全和业务分别由谁确认？</x:v>
      </x:c>
      <x:c r="E44" s="21" t="str">
        <x:v>验收人、证据清单、签字流程</x:v>
      </x:c>
      <x:c r="F44" s="23" t="str"/>
      <x:c r="G44" s="23" t="str">
        <x:v>未询问</x:v>
      </x:c>
      <x:c r="H44" s="23" t="str"/>
      <x:c r="I44" s="21" t="str">
        <x:v>交付验收</x:v>
      </x:c>
      <x:c r="J44" s="23" t="str"/>
      <x:c r="K44" s="24" t="str"/>
      <x:c r="L44" s="21" t="str">
        <x:v>每类证据有负责人确认</x:v>
      </x:c>
    </x:row>
  </x:sheetData>
  <x:mergeCells>
    <x:mergeCell ref="A1:L1"/>
    <x:mergeCell ref="A2:L2"/>
    <x:mergeCell ref="A4:L4"/>
  </x:mergeCells>
  <x:dataValidations count="2">
    <x:dataValidation type="list" sqref="G7:G44">
      <x:formula1>"未询问,已拿到,仅口头确认,对方补充,不适用"</x:formula1>
    </x:dataValidation>
    <x:dataValidation type="list" sqref="B7:B44">
      <x:formula1>"必拿,重要,后续"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A5AC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" hidden="0" customWidth="1"/>
    <x:col min="2" max="2" width="23" hidden="0" customWidth="1"/>
    <x:col min="3" max="3" width="30" hidden="0" customWidth="1"/>
    <x:col min="4" max="4" width="28" hidden="0" customWidth="1"/>
    <x:col min="5" max="5" width="22" hidden="0" customWidth="1"/>
    <x:col min="6" max="6" width="25" hidden="0" customWidth="1"/>
    <x:col min="7" max="7" width="26" hidden="0" customWidth="1"/>
    <x:col min="8" max="8" width="16" hidden="0" customWidth="1"/>
    <x:col min="9" max="9" width="14" hidden="0" customWidth="1"/>
    <x:col min="10" max="10" width="22" hidden="0" customWidth="1"/>
  </x:cols>
  <x:sheetData>
    <x:row r="1" ht="34" customHeight="1">
      <x:c r="A1" s="3" t="str">
        <x:v>三大接口与学校部署剩余工作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把“可以提前完成”和“必须等待学校资料”分开，避免把待对接误认为代码没做。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>
      <x:c r="A5" s="17" t="str">
        <x:v>序号</x:v>
      </x:c>
      <x:c r="B5" s="17" t="str">
        <x:v>工作项</x:v>
      </x:c>
      <x:c r="C5" s="17" t="str">
        <x:v>当前情况</x:v>
      </x:c>
      <x:c r="D5" s="17" t="str">
        <x:v>等待学校什么</x:v>
      </x:c>
      <x:c r="E5" s="17" t="str">
        <x:v>拿到后由谁做</x:v>
      </x:c>
      <x:c r="F5" s="17" t="str">
        <x:v>实施结果</x:v>
      </x:c>
      <x:c r="G5" s="17" t="str">
        <x:v>验证方式</x:v>
      </x:c>
      <x:c r="H5" s="17" t="str">
        <x:v>状态</x:v>
      </x:c>
      <x:c r="I5" s="17" t="str">
        <x:v>计划日期</x:v>
      </x:c>
      <x:c r="J5" s="17" t="str">
        <x:v>备注</x:v>
      </x:c>
    </x:row>
    <x:row r="6" ht="55" customHeight="1">
      <x:c r="A6" s="34" t="n">
        <x:v>1</x:v>
      </x:c>
      <x:c r="B6" s="34" t="str">
        <x:v>三大接口公共安全传输</x:v>
      </x:c>
      <x:c r="C6" s="34" t="str">
        <x:v>已具备地址限制、超时、证书校验、响应大小和重定向边界</x:v>
      </x:c>
      <x:c r="D6" s="34" t="str">
        <x:v>正式目标地址、证书和网络要求</x:v>
      </x:c>
      <x:c r="E6" s="34" t="str">
        <x:v>我方实施 + 学校网络管理员</x:v>
      </x:c>
      <x:c r="F6" s="34" t="str">
        <x:v>按学校环境配置</x:v>
      </x:c>
      <x:c r="G6" s="34" t="str">
        <x:v>异常请求安全失败并有审计</x:v>
      </x:c>
      <x:c r="H6" s="72" t="str">
        <x:v>已提前完成</x:v>
      </x:c>
      <x:c r="I6" s="73" t="str"/>
      <x:c r="J6" s="72" t="str"/>
    </x:row>
    <x:row r="7" ht="55" customHeight="1">
      <x:c r="A7" s="34" t="n">
        <x:v>2</x:v>
      </x:c>
      <x:c r="B7" s="34" t="str">
        <x:v>统一认证适配</x:v>
      </x:c>
      <x:c r="C7" s="34" t="str">
        <x:v>已具备常见协议和身份字段配置入口</x:v>
      </x:c>
      <x:c r="D7" s="34" t="str">
        <x:v>正式协议文档、字段、测试账号和凭据</x:v>
      </x:c>
      <x:c r="E7" s="34" t="str">
        <x:v>我方实施 + 统一认证负责人</x:v>
      </x:c>
      <x:c r="F7" s="34" t="str">
        <x:v>完成真实登录、退出和停用验证</x:v>
      </x:c>
      <x:c r="G7" s="34" t="str">
        <x:v>四类账号流程通过</x:v>
      </x:c>
      <x:c r="H7" s="72" t="str">
        <x:v>等待学校资料</x:v>
      </x:c>
      <x:c r="I7" s="73" t="str"/>
      <x:c r="J7" s="72" t="str"/>
    </x:row>
    <x:row r="8" ht="55" customHeight="1">
      <x:c r="A8" s="34" t="n">
        <x:v>3</x:v>
      </x:c>
      <x:c r="B8" s="34" t="str">
        <x:v>统一认证权限边界</x:v>
      </x:c>
      <x:c r="C8" s="34" t="str">
        <x:v>本系统角色、组织、数据范围独立控制；外部管理员不自动提权</x:v>
      </x:c>
      <x:c r="D8" s="34" t="str">
        <x:v>学校组织和角色映射确认</x:v>
      </x:c>
      <x:c r="E8" s="34" t="str">
        <x:v>我方实施 + 学校业务负责人</x:v>
      </x:c>
      <x:c r="F8" s="34" t="str">
        <x:v>登记白名单映射</x:v>
      </x:c>
      <x:c r="G8" s="34" t="str">
        <x:v>四级权限用四类账号验证</x:v>
      </x:c>
      <x:c r="H8" s="72" t="str">
        <x:v>待学校确认</x:v>
      </x:c>
      <x:c r="I8" s="73" t="str"/>
      <x:c r="J8" s="72" t="str"/>
    </x:row>
    <x:row r="9" ht="55" customHeight="1">
      <x:c r="A9" s="34" t="n">
        <x:v>4</x:v>
      </x:c>
      <x:c r="B9" s="34" t="str">
        <x:v>数据中台五类采集</x:v>
      </x:c>
      <x:c r="C9" s="34" t="str">
        <x:v>已具备配置驱动、预览、校验、确认入库、重试和审计</x:v>
      </x:c>
      <x:c r="D9" s="34" t="str">
        <x:v>五类正式字段字典、分页增量和样例</x:v>
      </x:c>
      <x:c r="E9" s="34" t="str">
        <x:v>我方实施 + 数据中台负责人</x:v>
      </x:c>
      <x:c r="F9" s="34" t="str">
        <x:v>逐类配置并小批校验</x:v>
      </x:c>
      <x:c r="G9" s="34" t="str">
        <x:v>源端与本地数量、关键值一致</x:v>
      </x:c>
      <x:c r="H9" s="72" t="str">
        <x:v>等待学校资料</x:v>
      </x:c>
      <x:c r="I9" s="73" t="str"/>
      <x:c r="J9" s="72" t="str"/>
    </x:row>
    <x:row r="10" ht="55" customHeight="1">
      <x:c r="A10" s="34" t="n">
        <x:v>5</x:v>
      </x:c>
      <x:c r="B10" s="34" t="str">
        <x:v>湘培十一类报送</x:v>
      </x:c>
      <x:c r="C10" s="34" t="str">
        <x:v>已具备逐笔记录、回执、单条和批量补传框架</x:v>
      </x:c>
      <x:c r="D10" s="34" t="str">
        <x:v>正式签名、字段、错误码、回执和联调窗口</x:v>
      </x:c>
      <x:c r="E10" s="34" t="str">
        <x:v>我方实施 + 省平台负责人</x:v>
      </x:c>
      <x:c r="F10" s="34" t="str">
        <x:v>逐类配置并真实联调</x:v>
      </x:c>
      <x:c r="G10" s="34" t="str">
        <x:v>源数据、本地记录、平台回执一致</x:v>
      </x:c>
      <x:c r="H10" s="72" t="str">
        <x:v>等待学校资料</x:v>
      </x:c>
      <x:c r="I10" s="73" t="str"/>
      <x:c r="J10" s="72" t="str"/>
    </x:row>
    <x:row r="11" ht="55" customHeight="1">
      <x:c r="A11" s="34" t="n">
        <x:v>6</x:v>
      </x:c>
      <x:c r="B11" s="34" t="str">
        <x:v>前端小白配置向导</x:v>
      </x:c>
      <x:c r="C11" s="34" t="str">
        <x:v>已完成中文业务名称、分步填写和敏感信息隔离</x:v>
      </x:c>
      <x:c r="D11" s="34" t="str">
        <x:v>正式字段名称和学校用语</x:v>
      </x:c>
      <x:c r="E11" s="34" t="str">
        <x:v>我方实施</x:v>
      </x:c>
      <x:c r="F11" s="34" t="str">
        <x:v>按正式资料微调提示</x:v>
      </x:c>
      <x:c r="G11" s="34" t="str">
        <x:v>学校管理员能按向导操作</x:v>
      </x:c>
      <x:c r="H11" s="72" t="str">
        <x:v>已提前完成</x:v>
      </x:c>
      <x:c r="I11" s="73" t="str"/>
      <x:c r="J11" s="72" t="str"/>
    </x:row>
    <x:row r="12" ht="55" customHeight="1">
      <x:c r="A12" s="34" t="n">
        <x:v>7</x:v>
      </x:c>
      <x:c r="B12" s="34" t="str">
        <x:v>学校服务器预检</x:v>
      </x:c>
      <x:c r="C12" s="34" t="str">
        <x:v>本地已有部署和检查基础，尚未接触学校真实环境</x:v>
      </x:c>
      <x:c r="D12" s="34" t="str">
        <x:v>服务器、数据库、域名、网络、维护窗口</x:v>
      </x:c>
      <x:c r="E12" s="34" t="str">
        <x:v>我方实施 + 服务器管理员</x:v>
      </x:c>
      <x:c r="F12" s="34" t="str">
        <x:v>只读盘点并形成部署清单</x:v>
      </x:c>
      <x:c r="G12" s="34" t="str">
        <x:v>环境事实有记录</x:v>
      </x:c>
      <x:c r="H12" s="72" t="str">
        <x:v>等待学校环境</x:v>
      </x:c>
      <x:c r="I12" s="73" t="str"/>
      <x:c r="J12" s="72" t="str"/>
    </x:row>
    <x:row r="13" ht="55" customHeight="1">
      <x:c r="A13" s="34" t="n">
        <x:v>8</x:v>
      </x:c>
      <x:c r="B13" s="34" t="str">
        <x:v>生产备份与回退</x:v>
      </x:c>
      <x:c r="C13" s="34" t="str">
        <x:v>已有安全操作约束，尚无学校保护点</x:v>
      </x:c>
      <x:c r="D13" s="34" t="str">
        <x:v>备份目录、保留期、恢复环境和负责人</x:v>
      </x:c>
      <x:c r="E13" s="34" t="str">
        <x:v>学校服务器管理员 + 我方实施</x:v>
      </x:c>
      <x:c r="F13" s="34" t="str">
        <x:v>上线前建立可恢复保护点</x:v>
      </x:c>
      <x:c r="G13" s="34" t="str">
        <x:v>隔离环境恢复验证</x:v>
      </x:c>
      <x:c r="H13" s="72" t="str">
        <x:v>等待学校环境</x:v>
      </x:c>
      <x:c r="I13" s="73" t="str"/>
      <x:c r="J13" s="72" t="str"/>
    </x:row>
    <x:row r="14" ht="55" customHeight="1">
      <x:c r="A14" s="34" t="n">
        <x:v>9</x:v>
      </x:c>
      <x:c r="B14" s="34" t="str">
        <x:v>正式部署</x:v>
      </x:c>
      <x:c r="C14" s="34" t="str">
        <x:v>当前不触碰学校服务器和线上演示版</x:v>
      </x:c>
      <x:c r="D14" s="34" t="str">
        <x:v>专用账号、窗口、审批和回退路径</x:v>
      </x:c>
      <x:c r="E14" s="34" t="str">
        <x:v>我方实施</x:v>
      </x:c>
      <x:c r="F14" s="34" t="str">
        <x:v>候选版本验证后原子切换</x:v>
      </x:c>
      <x:c r="G14" s="34" t="str">
        <x:v>浏览器、登录、业务、权限和刷新验证</x:v>
      </x:c>
      <x:c r="H14" s="72" t="str">
        <x:v>未开始</x:v>
      </x:c>
      <x:c r="I14" s="73" t="str"/>
      <x:c r="J14" s="72" t="str"/>
    </x:row>
    <x:row r="15" ht="55" customHeight="1">
      <x:c r="A15" s="34" t="n">
        <x:v>10</x:v>
      </x:c>
      <x:c r="B15" s="34" t="str">
        <x:v>数据库迁移核验</x:v>
      </x:c>
      <x:c r="C15" s="34" t="str">
        <x:v>当前迁移头保持不变，不为接口另造重复表</x:v>
      </x:c>
      <x:c r="D15" s="34" t="str">
        <x:v>学校数据库版本和现库状态</x:v>
      </x:c>
      <x:c r="E15" s="34" t="str">
        <x:v>我方实施</x:v>
      </x:c>
      <x:c r="F15" s="34" t="str">
        <x:v>先备份、再核验兼容性</x:v>
      </x:c>
      <x:c r="G15" s="34" t="str">
        <x:v>迁移头和业务数据语义不变</x:v>
      </x:c>
      <x:c r="H15" s="72" t="str">
        <x:v>等待学校环境</x:v>
      </x:c>
      <x:c r="I15" s="73" t="str"/>
      <x:c r="J15" s="72" t="str"/>
    </x:row>
    <x:row r="16" ht="55" customHeight="1">
      <x:c r="A16" s="34" t="n">
        <x:v>11</x:v>
      </x:c>
      <x:c r="B16" s="34" t="str">
        <x:v>容量与性能验收</x:v>
      </x:c>
      <x:c r="C16" s="34" t="str">
        <x:v>仅有本地预检，不能当学校环境正式结论</x:v>
      </x:c>
      <x:c r="D16" s="34" t="str">
        <x:v>隔离压测环境、数据规模、网络位置和审批</x:v>
      </x:c>
      <x:c r="E16" s="34" t="str">
        <x:v>我方实施 + 学校运维</x:v>
      </x:c>
      <x:c r="F16" s="34" t="str">
        <x:v>按共同口径执行</x:v>
      </x:c>
      <x:c r="G16" s="34" t="str">
        <x:v>3000 在线、100 并发、页面时限证据</x:v>
      </x:c>
      <x:c r="H16" s="72" t="str">
        <x:v>等待学校环境</x:v>
      </x:c>
      <x:c r="I16" s="73" t="str"/>
      <x:c r="J16" s="72" t="str"/>
    </x:row>
    <x:row r="17" ht="55" customHeight="1">
      <x:c r="A17" s="34" t="n">
        <x:v>12</x:v>
      </x:c>
      <x:c r="B17" s="34" t="str">
        <x:v>业务全流程验收</x:v>
      </x:c>
      <x:c r="C17" s="34" t="str">
        <x:v>本地流程可继续完善，真实接口链路待学校</x:v>
      </x:c>
      <x:c r="D17" s="34" t="str">
        <x:v>四类账号、业务样本和验收人员</x:v>
      </x:c>
      <x:c r="E17" s="34" t="str">
        <x:v>我方实施 + 学校业务部门</x:v>
      </x:c>
      <x:c r="F17" s="34" t="str">
        <x:v>逐角色逐流程验证</x:v>
      </x:c>
      <x:c r="G17" s="34" t="str">
        <x:v>正常办理、拒绝越权、异常可恢复</x:v>
      </x:c>
      <x:c r="H17" s="72" t="str">
        <x:v>部分完成</x:v>
      </x:c>
      <x:c r="I17" s="73" t="str"/>
      <x:c r="J17" s="72" t="str"/>
    </x:row>
    <x:row r="18" ht="55" customHeight="1">
      <x:c r="A18" s="34" t="n">
        <x:v>13</x:v>
      </x:c>
      <x:c r="B18" s="34" t="str">
        <x:v>培训与交付</x:v>
      </x:c>
      <x:c r="C18" s="34" t="str">
        <x:v>可提前准备中文材料，正式内容需以学校环境为准</x:v>
      </x:c>
      <x:c r="D18" s="34" t="str">
        <x:v>管理员、操作员名单和培训时间</x:v>
      </x:c>
      <x:c r="E18" s="34" t="str">
        <x:v>我方实施</x:v>
      </x:c>
      <x:c r="F18" s="34" t="str">
        <x:v>培训、问题登记、签字</x:v>
      </x:c>
      <x:c r="G18" s="34" t="str">
        <x:v>人员能独立完成常规操作</x:v>
      </x:c>
      <x:c r="H18" s="72" t="str">
        <x:v>待安排</x:v>
      </x:c>
      <x:c r="I18" s="73" t="str"/>
      <x:c r="J18" s="72" t="str"/>
    </x:row>
  </x:sheetData>
  <x:mergeCells>
    <x:mergeCell ref="A1:J1"/>
    <x:mergeCell ref="A2:J2"/>
  </x:mergeCells>
  <x:dataValidations count="1">
    <x:dataValidation type="list" sqref="H6:H18">
      <x:formula1>"已提前完成,部分完成,等待学校资料,等待学校环境,待学校确认,待安排,未开始,已完成"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E6913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0" hidden="0" customWidth="1"/>
    <x:col min="3" max="3" width="32" hidden="0" customWidth="1"/>
    <x:col min="4" max="4" width="18" hidden="0" customWidth="1"/>
    <x:col min="5" max="5" width="18" hidden="0" customWidth="1"/>
    <x:col min="6" max="6" width="25" hidden="0" customWidth="1"/>
    <x:col min="7" max="7" width="25" hidden="0" customWidth="1"/>
    <x:col min="8" max="8" width="14" hidden="0" customWidth="1"/>
    <x:col min="9" max="9" width="15" hidden="0" customWidth="1"/>
    <x:col min="10" max="10" width="22" hidden="0" customWidth="1"/>
  </x:cols>
  <x:sheetData>
    <x:row r="1" ht="34" customHeight="1">
      <x:c r="A1" s="3" t="str">
        <x:v>学校现场会议纪要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每个结论要写清负责人、材料、时间和下一步；口头承诺不能直接当作已拿到资料。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>
      <x:c r="A5" s="17" t="str">
        <x:v>序号</x:v>
      </x:c>
      <x:c r="B5" s="17" t="str">
        <x:v>议题</x:v>
      </x:c>
      <x:c r="C5" s="17" t="str">
        <x:v>会议结论</x:v>
      </x:c>
      <x:c r="D5" s="17" t="str">
        <x:v>学校负责人</x:v>
      </x:c>
      <x:c r="E5" s="17" t="str">
        <x:v>我方负责人</x:v>
      </x:c>
      <x:c r="F5" s="17" t="str">
        <x:v>学校待提供材料</x:v>
      </x:c>
      <x:c r="G5" s="17" t="str">
        <x:v>我方下一步</x:v>
      </x:c>
      <x:c r="H5" s="17" t="str">
        <x:v>截止日期</x:v>
      </x:c>
      <x:c r="I5" s="17" t="str">
        <x:v>状态</x:v>
      </x:c>
      <x:c r="J5" s="17" t="str">
        <x:v>备注</x:v>
      </x:c>
    </x:row>
    <x:row r="6" ht="48" customHeight="1">
      <x:c r="A6" s="34" t="n">
        <x:v>1</x:v>
      </x:c>
      <x:c r="B6" s="72" t="str"/>
      <x:c r="C6" s="72" t="str"/>
      <x:c r="D6" s="72" t="str"/>
      <x:c r="E6" s="72" t="str"/>
      <x:c r="F6" s="72" t="str"/>
      <x:c r="G6" s="72" t="str"/>
      <x:c r="H6" s="73" t="str"/>
      <x:c r="I6" s="72" t="str">
        <x:v>未记录</x:v>
      </x:c>
      <x:c r="J6" s="72" t="str"/>
    </x:row>
    <x:row r="7" ht="48" customHeight="1">
      <x:c r="A7" s="34" t="n">
        <x:v>2</x:v>
      </x:c>
      <x:c r="B7" s="72" t="str"/>
      <x:c r="C7" s="72" t="str"/>
      <x:c r="D7" s="72" t="str"/>
      <x:c r="E7" s="72" t="str"/>
      <x:c r="F7" s="72" t="str"/>
      <x:c r="G7" s="72" t="str"/>
      <x:c r="H7" s="73" t="str"/>
      <x:c r="I7" s="72" t="str">
        <x:v>未记录</x:v>
      </x:c>
      <x:c r="J7" s="72" t="str"/>
    </x:row>
    <x:row r="8" ht="48" customHeight="1">
      <x:c r="A8" s="34" t="n">
        <x:v>3</x:v>
      </x:c>
      <x:c r="B8" s="72" t="str"/>
      <x:c r="C8" s="72" t="str"/>
      <x:c r="D8" s="72" t="str"/>
      <x:c r="E8" s="72" t="str"/>
      <x:c r="F8" s="72" t="str"/>
      <x:c r="G8" s="72" t="str"/>
      <x:c r="H8" s="73" t="str"/>
      <x:c r="I8" s="72" t="str">
        <x:v>未记录</x:v>
      </x:c>
      <x:c r="J8" s="72" t="str"/>
    </x:row>
    <x:row r="9" ht="48" customHeight="1">
      <x:c r="A9" s="34" t="n">
        <x:v>4</x:v>
      </x:c>
      <x:c r="B9" s="72" t="str"/>
      <x:c r="C9" s="72" t="str"/>
      <x:c r="D9" s="72" t="str"/>
      <x:c r="E9" s="72" t="str"/>
      <x:c r="F9" s="72" t="str"/>
      <x:c r="G9" s="72" t="str"/>
      <x:c r="H9" s="73" t="str"/>
      <x:c r="I9" s="72" t="str">
        <x:v>未记录</x:v>
      </x:c>
      <x:c r="J9" s="72" t="str"/>
    </x:row>
    <x:row r="10" ht="48" customHeight="1">
      <x:c r="A10" s="34" t="n">
        <x:v>5</x:v>
      </x:c>
      <x:c r="B10" s="72" t="str"/>
      <x:c r="C10" s="72" t="str"/>
      <x:c r="D10" s="72" t="str"/>
      <x:c r="E10" s="72" t="str"/>
      <x:c r="F10" s="72" t="str"/>
      <x:c r="G10" s="72" t="str"/>
      <x:c r="H10" s="73" t="str"/>
      <x:c r="I10" s="72" t="str">
        <x:v>未记录</x:v>
      </x:c>
      <x:c r="J10" s="72" t="str"/>
    </x:row>
    <x:row r="11" ht="48" customHeight="1">
      <x:c r="A11" s="34" t="n">
        <x:v>6</x:v>
      </x:c>
      <x:c r="B11" s="72" t="str"/>
      <x:c r="C11" s="72" t="str"/>
      <x:c r="D11" s="72" t="str"/>
      <x:c r="E11" s="72" t="str"/>
      <x:c r="F11" s="72" t="str"/>
      <x:c r="G11" s="72" t="str"/>
      <x:c r="H11" s="73" t="str"/>
      <x:c r="I11" s="72" t="str">
        <x:v>未记录</x:v>
      </x:c>
      <x:c r="J11" s="72" t="str"/>
    </x:row>
    <x:row r="12" ht="48" customHeight="1">
      <x:c r="A12" s="34" t="n">
        <x:v>7</x:v>
      </x:c>
      <x:c r="B12" s="72" t="str"/>
      <x:c r="C12" s="72" t="str"/>
      <x:c r="D12" s="72" t="str"/>
      <x:c r="E12" s="72" t="str"/>
      <x:c r="F12" s="72" t="str"/>
      <x:c r="G12" s="72" t="str"/>
      <x:c r="H12" s="73" t="str"/>
      <x:c r="I12" s="72" t="str">
        <x:v>未记录</x:v>
      </x:c>
      <x:c r="J12" s="72" t="str"/>
    </x:row>
    <x:row r="13" ht="48" customHeight="1">
      <x:c r="A13" s="34" t="n">
        <x:v>8</x:v>
      </x:c>
      <x:c r="B13" s="72" t="str"/>
      <x:c r="C13" s="72" t="str"/>
      <x:c r="D13" s="72" t="str"/>
      <x:c r="E13" s="72" t="str"/>
      <x:c r="F13" s="72" t="str"/>
      <x:c r="G13" s="72" t="str"/>
      <x:c r="H13" s="73" t="str"/>
      <x:c r="I13" s="72" t="str">
        <x:v>未记录</x:v>
      </x:c>
      <x:c r="J13" s="72" t="str"/>
    </x:row>
    <x:row r="14" ht="48" customHeight="1">
      <x:c r="A14" s="34" t="n">
        <x:v>9</x:v>
      </x:c>
      <x:c r="B14" s="72" t="str"/>
      <x:c r="C14" s="72" t="str"/>
      <x:c r="D14" s="72" t="str"/>
      <x:c r="E14" s="72" t="str"/>
      <x:c r="F14" s="72" t="str"/>
      <x:c r="G14" s="72" t="str"/>
      <x:c r="H14" s="73" t="str"/>
      <x:c r="I14" s="72" t="str">
        <x:v>未记录</x:v>
      </x:c>
      <x:c r="J14" s="72" t="str"/>
    </x:row>
    <x:row r="15" ht="48" customHeight="1">
      <x:c r="A15" s="34" t="n">
        <x:v>10</x:v>
      </x:c>
      <x:c r="B15" s="72" t="str"/>
      <x:c r="C15" s="72" t="str"/>
      <x:c r="D15" s="72" t="str"/>
      <x:c r="E15" s="72" t="str"/>
      <x:c r="F15" s="72" t="str"/>
      <x:c r="G15" s="72" t="str"/>
      <x:c r="H15" s="73" t="str"/>
      <x:c r="I15" s="72" t="str">
        <x:v>未记录</x:v>
      </x:c>
      <x:c r="J15" s="72" t="str"/>
    </x:row>
    <x:row r="16" ht="48" customHeight="1">
      <x:c r="A16" s="34" t="n">
        <x:v>11</x:v>
      </x:c>
      <x:c r="B16" s="72" t="str"/>
      <x:c r="C16" s="72" t="str"/>
      <x:c r="D16" s="72" t="str"/>
      <x:c r="E16" s="72" t="str"/>
      <x:c r="F16" s="72" t="str"/>
      <x:c r="G16" s="72" t="str"/>
      <x:c r="H16" s="73" t="str"/>
      <x:c r="I16" s="72" t="str">
        <x:v>未记录</x:v>
      </x:c>
      <x:c r="J16" s="72" t="str"/>
    </x:row>
    <x:row r="17" ht="48" customHeight="1">
      <x:c r="A17" s="34" t="n">
        <x:v>12</x:v>
      </x:c>
      <x:c r="B17" s="72" t="str"/>
      <x:c r="C17" s="72" t="str"/>
      <x:c r="D17" s="72" t="str"/>
      <x:c r="E17" s="72" t="str"/>
      <x:c r="F17" s="72" t="str"/>
      <x:c r="G17" s="72" t="str"/>
      <x:c r="H17" s="73" t="str"/>
      <x:c r="I17" s="72" t="str">
        <x:v>未记录</x:v>
      </x:c>
      <x:c r="J17" s="72" t="str"/>
    </x:row>
    <x:row r="18" ht="48" customHeight="1">
      <x:c r="A18" s="34" t="n">
        <x:v>13</x:v>
      </x:c>
      <x:c r="B18" s="72" t="str"/>
      <x:c r="C18" s="72" t="str"/>
      <x:c r="D18" s="72" t="str"/>
      <x:c r="E18" s="72" t="str"/>
      <x:c r="F18" s="72" t="str"/>
      <x:c r="G18" s="72" t="str"/>
      <x:c r="H18" s="73" t="str"/>
      <x:c r="I18" s="72" t="str">
        <x:v>未记录</x:v>
      </x:c>
      <x:c r="J18" s="72" t="str"/>
    </x:row>
    <x:row r="19" ht="48" customHeight="1">
      <x:c r="A19" s="34" t="n">
        <x:v>14</x:v>
      </x:c>
      <x:c r="B19" s="72" t="str"/>
      <x:c r="C19" s="72" t="str"/>
      <x:c r="D19" s="72" t="str"/>
      <x:c r="E19" s="72" t="str"/>
      <x:c r="F19" s="72" t="str"/>
      <x:c r="G19" s="72" t="str"/>
      <x:c r="H19" s="73" t="str"/>
      <x:c r="I19" s="72" t="str">
        <x:v>未记录</x:v>
      </x:c>
      <x:c r="J19" s="72" t="str"/>
    </x:row>
    <x:row r="20" ht="48" customHeight="1">
      <x:c r="A20" s="34" t="n">
        <x:v>15</x:v>
      </x:c>
      <x:c r="B20" s="72" t="str"/>
      <x:c r="C20" s="72" t="str"/>
      <x:c r="D20" s="72" t="str"/>
      <x:c r="E20" s="72" t="str"/>
      <x:c r="F20" s="72" t="str"/>
      <x:c r="G20" s="72" t="str"/>
      <x:c r="H20" s="73" t="str"/>
      <x:c r="I20" s="72" t="str">
        <x:v>未记录</x:v>
      </x:c>
      <x:c r="J20" s="72" t="str"/>
    </x:row>
    <x:row r="21" ht="48" customHeight="1">
      <x:c r="A21" s="34" t="n">
        <x:v>16</x:v>
      </x:c>
      <x:c r="B21" s="72" t="str"/>
      <x:c r="C21" s="72" t="str"/>
      <x:c r="D21" s="72" t="str"/>
      <x:c r="E21" s="72" t="str"/>
      <x:c r="F21" s="72" t="str"/>
      <x:c r="G21" s="72" t="str"/>
      <x:c r="H21" s="73" t="str"/>
      <x:c r="I21" s="72" t="str">
        <x:v>未记录</x:v>
      </x:c>
      <x:c r="J21" s="72" t="str"/>
    </x:row>
    <x:row r="22" ht="48" customHeight="1">
      <x:c r="A22" s="34" t="n">
        <x:v>17</x:v>
      </x:c>
      <x:c r="B22" s="72" t="str"/>
      <x:c r="C22" s="72" t="str"/>
      <x:c r="D22" s="72" t="str"/>
      <x:c r="E22" s="72" t="str"/>
      <x:c r="F22" s="72" t="str"/>
      <x:c r="G22" s="72" t="str"/>
      <x:c r="H22" s="73" t="str"/>
      <x:c r="I22" s="72" t="str">
        <x:v>未记录</x:v>
      </x:c>
      <x:c r="J22" s="72" t="str"/>
    </x:row>
    <x:row r="23" ht="48" customHeight="1">
      <x:c r="A23" s="34" t="n">
        <x:v>18</x:v>
      </x:c>
      <x:c r="B23" s="72" t="str"/>
      <x:c r="C23" s="72" t="str"/>
      <x:c r="D23" s="72" t="str"/>
      <x:c r="E23" s="72" t="str"/>
      <x:c r="F23" s="72" t="str"/>
      <x:c r="G23" s="72" t="str"/>
      <x:c r="H23" s="73" t="str"/>
      <x:c r="I23" s="72" t="str">
        <x:v>未记录</x:v>
      </x:c>
      <x:c r="J23" s="72" t="str"/>
    </x:row>
    <x:row r="24" ht="48" customHeight="1">
      <x:c r="A24" s="34" t="n">
        <x:v>19</x:v>
      </x:c>
      <x:c r="B24" s="72" t="str"/>
      <x:c r="C24" s="72" t="str"/>
      <x:c r="D24" s="72" t="str"/>
      <x:c r="E24" s="72" t="str"/>
      <x:c r="F24" s="72" t="str"/>
      <x:c r="G24" s="72" t="str"/>
      <x:c r="H24" s="73" t="str"/>
      <x:c r="I24" s="72" t="str">
        <x:v>未记录</x:v>
      </x:c>
      <x:c r="J24" s="72" t="str"/>
    </x:row>
    <x:row r="25" ht="48" customHeight="1">
      <x:c r="A25" s="34" t="n">
        <x:v>20</x:v>
      </x:c>
      <x:c r="B25" s="72" t="str"/>
      <x:c r="C25" s="72" t="str"/>
      <x:c r="D25" s="72" t="str"/>
      <x:c r="E25" s="72" t="str"/>
      <x:c r="F25" s="72" t="str"/>
      <x:c r="G25" s="72" t="str"/>
      <x:c r="H25" s="73" t="str"/>
      <x:c r="I25" s="72" t="str">
        <x:v>未记录</x:v>
      </x:c>
      <x:c r="J25" s="72" t="str"/>
    </x:row>
  </x:sheetData>
  <x:mergeCells>
    <x:mergeCell ref="A1:J1"/>
    <x:mergeCell ref="A2:J2"/>
  </x:mergeCells>
  <x:dataValidations count="1">
    <x:dataValidation type="list" sqref="I6:I25">
      <x:formula1>"未记录,待对方补充,我方处理中,已完成,已取消"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8" hidden="0" customWidth="1"/>
    <x:col min="3" max="3" width="20" hidden="0" customWidth="1"/>
    <x:col min="4" max="4" width="28" hidden="0" customWidth="1"/>
    <x:col min="5" max="5" width="55" hidden="0" customWidth="1"/>
    <x:col min="6" max="6" width="34" hidden="0" customWidth="1"/>
  </x:cols>
  <x:sheetData>
    <x:row r="1" ht="34" customHeight="1">
      <x:c r="A1" s="3" t="str">
        <x:v>资料依据与使用边界</x:v>
      </x:c>
      <x:c r="B1" s="3"/>
      <x:c r="C1" s="3"/>
      <x:c r="D1" s="3"/>
      <x:c r="E1" s="3"/>
      <x:c r="F1" s="3"/>
    </x:row>
    <x:row r="2" ht="34" customHeight="1">
      <x:c r="A2" s="7" t="str">
        <x:v>公开规范只帮助提前设计安全能力；湘培直通车的正式字段、签名和错误码仍必须以学校或省平台正式技术文档为准。</x:v>
      </x:c>
      <x:c r="B2" s="7"/>
      <x:c r="C2" s="7"/>
      <x:c r="D2" s="7"/>
      <x:c r="E2" s="7"/>
      <x:c r="F2" s="7"/>
    </x:row>
    <x:row r="5">
      <x:c r="A5" s="17" t="str">
        <x:v>序号</x:v>
      </x:c>
      <x:c r="B5" s="17" t="str">
        <x:v>资料名称</x:v>
      </x:c>
      <x:c r="C5" s="17" t="str">
        <x:v>发布机构</x:v>
      </x:c>
      <x:c r="D5" s="17" t="str">
        <x:v>用途</x:v>
      </x:c>
      <x:c r="E5" s="17" t="str">
        <x:v>链接或文件名</x:v>
      </x:c>
      <x:c r="F5" s="17" t="str">
        <x:v>边界说明</x:v>
      </x:c>
    </x:row>
    <x:row r="6" ht="54" customHeight="1">
      <x:c r="A6" s="74" t="n">
        <x:v>1</x:v>
      </x:c>
      <x:c r="B6" s="34" t="str">
        <x:v>一站式非学历教育智慧前台建设项目采购清单</x:v>
      </x:c>
      <x:c r="C6" s="34" t="str">
        <x:v>采购文件</x:v>
      </x:c>
      <x:c r="D6" s="34" t="str">
        <x:v>业务范围、性能、安全、交付和服务要求</x:v>
      </x:c>
      <x:c r="E6" s="34" t="str">
        <x:v>《一站式非学历教育智慧前台建设项目采购清单》</x:v>
      </x:c>
      <x:c r="F6" s="34" t="str">
        <x:v>属于项目要求，不等同于三大接口技术文档</x:v>
      </x:c>
    </x:row>
    <x:row r="7" ht="54" customHeight="1">
      <x:c r="A7" s="74" t="n">
        <x:v>2</x:v>
      </x:c>
      <x:c r="B7" s="34" t="str">
        <x:v>CAS 协议规范</x:v>
      </x:c>
      <x:c r="C7" s="34" t="str">
        <x:v>Apereo</x:v>
      </x:c>
      <x:c r="D7" s="34" t="str">
        <x:v>票据校验、服务地址绑定、登录与退出</x:v>
      </x:c>
      <x:c r="E7" s="34" t="str">
        <x:v>https://apereo.github.io/cas/development/protocol/CAS-Protocol-Specification.html</x:v>
      </x:c>
      <x:c r="F7" s="34" t="str">
        <x:v>学校实际版本和扩展以正式文档为准</x:v>
      </x:c>
    </x:row>
    <x:row r="8" ht="54" customHeight="1">
      <x:c r="A8" s="74" t="n">
        <x:v>3</x:v>
      </x:c>
      <x:c r="B8" s="34" t="str">
        <x:v>开放身份连接核心规范</x:v>
      </x:c>
      <x:c r="C8" s="34" t="str">
        <x:v>OpenID Foundation</x:v>
      </x:c>
      <x:c r="D8" s="34" t="str">
        <x:v>回调、签发方、随机值、身份令牌校验</x:v>
      </x:c>
      <x:c r="E8" s="34" t="str">
        <x:v>https://openid.net/specs/openid-connect-core-1_0.html</x:v>
      </x:c>
      <x:c r="F8" s="34" t="str">
        <x:v>仅作为通用安全依据</x:v>
      </x:c>
    </x:row>
    <x:row r="9" ht="54" customHeight="1">
      <x:c r="A9" s="74" t="n">
        <x:v>4</x:v>
      </x:c>
      <x:c r="B9" s="34" t="str">
        <x:v>开放身份连接发现规范</x:v>
      </x:c>
      <x:c r="C9" s="34" t="str">
        <x:v>OpenID Foundation</x:v>
      </x:c>
      <x:c r="D9" s="34" t="str">
        <x:v>发现地址和服务能力元数据</x:v>
      </x:c>
      <x:c r="E9" s="34" t="str">
        <x:v>https://openid.net/specs/openid-connect-discovery-1_0.html</x:v>
      </x:c>
      <x:c r="F9" s="34" t="str">
        <x:v>学校未采用时不适用</x:v>
      </x:c>
    </x:row>
    <x:row r="10" ht="54" customHeight="1">
      <x:c r="A10" s="74" t="n">
        <x:v>5</x:v>
      </x:c>
      <x:c r="B10" s="34" t="str">
        <x:v>OAuth 2.0 安全最佳实践</x:v>
      </x:c>
      <x:c r="C10" s="34" t="str">
        <x:v>IETF / RFC Editor</x:v>
      </x:c>
      <x:c r="D10" s="34" t="str">
        <x:v>回调精确匹配、防伪状态、授权码与安全防护</x:v>
      </x:c>
      <x:c r="E10" s="34" t="str">
        <x:v>https://www.rfc-editor.org/info/rfc9700/</x:v>
      </x:c>
      <x:c r="F10" s="34" t="str">
        <x:v>不替代学校认证系统实施规范</x:v>
      </x:c>
    </x:row>
    <x:row r="11" ht="54" customHeight="1">
      <x:c r="A11" s="74" t="n">
        <x:v>6</x:v>
      </x:c>
      <x:c r="B11" s="34" t="str">
        <x:v>OAuth 2.0 授权服务器元数据</x:v>
      </x:c>
      <x:c r="C11" s="34" t="str">
        <x:v>IETF / RFC Editor</x:v>
      </x:c>
      <x:c r="D11" s="34" t="str">
        <x:v>认证服务地址和能力发现</x:v>
      </x:c>
      <x:c r="E11" s="34" t="str">
        <x:v>https://www.rfc-editor.org/info/rfc8414/</x:v>
      </x:c>
      <x:c r="F11" s="34" t="str">
        <x:v>仅用于兼容标准协议</x:v>
      </x:c>
    </x:row>
    <x:row r="12" ht="54" customHeight="1">
      <x:c r="A12" s="74" t="n">
        <x:v>7</x:v>
      </x:c>
      <x:c r="B12" s="34" t="str">
        <x:v>HTTP 消息签名</x:v>
      </x:c>
      <x:c r="C12" s="34" t="str">
        <x:v>IETF / RFC Editor</x:v>
      </x:c>
      <x:c r="D12" s="34" t="str">
        <x:v>签名组成、时间和覆盖字段参考</x:v>
      </x:c>
      <x:c r="E12" s="34" t="str">
        <x:v>https://www.rfc-editor.org/rfc/rfc9421.html</x:v>
      </x:c>
      <x:c r="F12" s="34" t="str">
        <x:v>省平台可能使用自定义签名，必须以正式文档为准</x:v>
      </x:c>
    </x:row>
    <x:row r="13" ht="54" customHeight="1">
      <x:c r="A13" s="74" t="n">
        <x:v>8</x:v>
      </x:c>
      <x:c r="B13" s="34" t="str">
        <x:v>服务端请求伪造防护</x:v>
      </x:c>
      <x:c r="C13" s="34" t="str">
        <x:v>OWASP</x:v>
      </x:c>
      <x:c r="D13" s="34" t="str">
        <x:v>外部地址白名单和安全传输边界</x:v>
      </x:c>
      <x:c r="E13" s="34" t="str">
        <x:v>https://cheatsheetseries.owasp.org/cheatsheets/Server_Side_Request_Forgery_Prevention_Cheat_Sheet.html</x:v>
      </x:c>
      <x:c r="F13" s="34" t="str">
        <x:v>用于保护接口配置，不能任意访问地址</x:v>
      </x:c>
    </x:row>
    <x:row r="14" ht="54" customHeight="1">
      <x:c r="A14" s="74" t="n">
        <x:v>9</x:v>
      </x:c>
      <x:c r="B14" s="34" t="str">
        <x:v>“技兴三湘 一人一技”三年行动计划</x:v>
      </x:c>
      <x:c r="C14" s="34" t="str">
        <x:v>湖南省工业和信息化厅</x:v>
      </x:c>
      <x:c r="D14" s="34" t="str">
        <x:v>确认湘培直通车业务定位与培训过程范围</x:v>
      </x:c>
      <x:c r="E14" s="34" t="str">
        <x:v>https://gxt.hunan.gov.cn/gxt/xxgk_71033/zcfg/dfxfg/202603/t20260319_33937450.html</x:v>
      </x:c>
      <x:c r="F14" s="34" t="str">
        <x:v>公开业务资料，不含技术接口字段</x:v>
      </x:c>
    </x:row>
    <x:row r="15" ht="54" customHeight="1">
      <x:c r="A15" s="74" t="n">
        <x:v>10</x:v>
      </x:c>
      <x:c r="B15" s="34" t="str">
        <x:v>湖南省人民政府关于湘培直通车的公开报道</x:v>
      </x:c>
      <x:c r="C15" s="34" t="str">
        <x:v>湖南省人民政府</x:v>
      </x:c>
      <x:c r="D15" s="34" t="str">
        <x:v>确认培训机构、课程、评价和就业服务范围</x:v>
      </x:c>
      <x:c r="E15" s="34" t="str">
        <x:v>https://hunan.gov.cn/hnszf/hnyw/sxsp/202609/t20260913_34062993.html</x:v>
      </x:c>
      <x:c r="F15" s="34" t="str">
        <x:v>公开报道，不能作为联调验收依据</x:v>
      </x:c>
    </x:row>
  </x:sheetData>
  <x:mergeCells>
    <x:mergeCell ref="A1:F1"/>
    <x:mergeCell ref="A2:F2"/>
  </x:mergeCells>
  <x:pageMargins left="0.7" right="0.7" top="0.75" bottom="0.75" header="0.3" footer="0.3"/>
</x:worksheet>
</file>