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0211facf6a64410" /></Relationships>
</file>

<file path=xl/workbook.xml><?xml version="1.0" encoding="utf-8"?>
<x:workbook xmlns:x="http://schemas.openxmlformats.org/spreadsheetml/2006/main">
  <x:sheets>
    <x:sheet xmlns:r="http://schemas.openxmlformats.org/officeDocument/2006/relationships" name="施工概览" sheetId="1" r:id="R89a5925b91fb4313"/>
    <x:sheet xmlns:r="http://schemas.openxmlformats.org/officeDocument/2006/relationships" name="测试证据" sheetId="2" r:id="Ra9cbd8bedc8244ab"/>
    <x:sheet xmlns:r="http://schemas.openxmlformats.org/officeDocument/2006/relationships" name="25组纠偏推进" sheetId="3" r:id="Rc85649b479024adf"/>
    <x:sheet xmlns:r="http://schemas.openxmlformats.org/officeDocument/2006/relationships" name="101条采购原文" sheetId="4" r:id="Rea514a856e084485"/>
    <x:sheet xmlns:r="http://schemas.openxmlformats.org/officeDocument/2006/relationships" name="待补与验收边界" sheetId="5" r:id="R7163f78ba3294bd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sz val="10"/>
      <x:color rgb="FF172B4D"/>
      <x:name val="Arial"/>
    </x:font>
    <x:font>
      <x:b/>
      <x:sz val="11"/>
      <x:color rgb="FFFFFFFF"/>
      <x:name val="Arial"/>
    </x:font>
    <x:font>
      <x:sz val="11"/>
      <x:color rgb="FF172B4D"/>
      <x:name val="Arial"/>
    </x:font>
    <x:font>
      <x:b/>
      <x:sz val="19"/>
      <x:color rgb="FFFFFFFF"/>
      <x:name val="Arial"/>
    </x:font>
    <x:font>
      <x:sz val="11"/>
      <x:color rgb="FF64748B"/>
      <x:name val="Arial"/>
    </x:font>
    <x:font>
      <x:b/>
      <x:sz val="11"/>
      <x:color rgb="FF18345E"/>
      <x:name val="Arial"/>
    </x:font>
    <x:font>
      <x:b/>
      <x:sz val="28"/>
      <x:color rgb="FF2563EB"/>
      <x:name val="Arial"/>
    </x:font>
    <x:font>
      <x:b/>
      <x:sz val="13"/>
      <x:color rgb="FF9A5800"/>
      <x:name val="Arial"/>
    </x:font>
  </x:fonts>
  <x:fills count="6">
    <x:fill>
      <x:patternFill patternType="none"/>
    </x:fill>
    <x:fill>
      <x:patternFill patternType="gray125"/>
    </x:fill>
    <x:fill>
      <x:patternFill patternType="solid">
        <x:fgColor rgb="FF18345E"/>
      </x:patternFill>
    </x:fill>
    <x:fill>
      <x:patternFill patternType="solid">
        <x:fgColor rgb="FFF4F7FB"/>
      </x:patternFill>
    </x:fill>
    <x:fill>
      <x:patternFill patternType="solid">
        <x:fgColor rgb="FFEDF3FC"/>
      </x:patternFill>
    </x:fill>
    <x:fill>
      <x:patternFill patternType="solid">
        <x:fgColor rgb="FFFFF2DD"/>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200" fontId="1" fillId="3" borderId="1"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2"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3" fillId="2" borderId="1" xfId="0" applyNumberFormat="1" applyFont="1" applyFill="1" applyBorder="1" applyAlignment="1">
      <x:alignment wrapText="1"/>
    </x:xf>
    <x:xf numFmtId="0" fontId="4" fillId="2" borderId="1" xfId="0" applyNumberFormat="1" applyFont="1" applyFill="1" applyBorder="1" applyAlignment="1">
      <x:alignment wrapText="1"/>
    </x:xf>
    <x:xf numFmtId="0" fontId="4" fillId="2" borderId="1" xfId="0" applyNumberFormat="1" applyFont="1" applyFill="1" applyBorder="1" applyAlignment="1">
      <x:alignment vertical="center" wrapText="1"/>
    </x:xf>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3" fillId="4" borderId="0" xfId="0" applyNumberFormat="1" applyFont="1" applyFill="1" applyBorder="1" applyAlignment="1">
      <x:alignment wrapText="1"/>
    </x:xf>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3" fillId="4" borderId="1" xfId="0" applyNumberFormat="1" applyFont="1" applyFill="1" applyBorder="1" applyAlignment="1">
      <x:alignment wrapText="1"/>
    </x:xf>
    <x:xf numFmtId="0" fontId="6" fillId="4" borderId="1"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7" fillId="4"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7" fillId="4" borderId="0" xfId="0" applyNumberFormat="1" applyFont="1" applyFill="1" applyBorder="1" applyAlignment="1">
      <x:alignment horizontal="center" vertical="center" wrapText="1"/>
    </x:xf>
    <x:xf numFmtId="0" fontId="7" fillId="4" borderId="1" xfId="0" applyNumberFormat="1" applyFont="1" applyFill="1" applyBorder="1" applyAlignment="1">
      <x:alignment wrapText="1"/>
    </x:xf>
    <x:xf numFmtId="0" fontId="7" fillId="4" borderId="1" xfId="0" applyNumberFormat="1" applyFont="1" applyFill="1" applyBorder="1" applyAlignment="1">
      <x:alignment horizontal="center" wrapText="1"/>
    </x:xf>
    <x:xf numFmtId="0" fontId="7" fillId="4" borderId="1" xfId="0" applyNumberFormat="1" applyFont="1" applyFill="1" applyBorder="1" applyAlignment="1">
      <x:alignment horizontal="center" vertical="center" wrapText="1"/>
    </x:xf>
    <x:xf numFmtId="0" fontId="3" fillId="5" borderId="0" xfId="0" applyNumberFormat="1" applyFont="1" applyFill="1" applyBorder="1" applyAlignment="1">
      <x:alignment wrapText="1"/>
    </x:xf>
    <x:xf numFmtId="0" fontId="8" fillId="5" borderId="0" xfId="0" applyNumberFormat="1" applyFont="1" applyFill="1" applyBorder="1" applyAlignment="1">
      <x:alignment wrapText="1"/>
    </x:xf>
    <x:xf numFmtId="0" fontId="8" fillId="5" borderId="0" xfId="0" applyNumberFormat="1" applyFont="1" applyFill="1" applyBorder="1" applyAlignment="1">
      <x:alignment vertical="center" wrapText="1"/>
    </x:xf>
    <x:xf numFmtId="0" fontId="3" fillId="5" borderId="1" xfId="0" applyNumberFormat="1" applyFont="1" applyFill="1" applyBorder="1" applyAlignment="1">
      <x:alignment wrapText="1"/>
    </x:xf>
    <x:xf numFmtId="0" fontId="8" fillId="5" borderId="1" xfId="0" applyNumberFormat="1" applyFont="1" applyFill="1" applyBorder="1" applyAlignment="1">
      <x:alignment wrapText="1"/>
    </x:xf>
    <x:xf numFmtId="0" fontId="8" fillId="5" borderId="1" xfId="0" applyNumberFormat="1" applyFont="1" applyFill="1" applyBorder="1" applyAlignment="1">
      <x:alignment vertical="center"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cellXfs>
  <x:cellStyles count="1">
    <x:cellStyle name="Normal" xfId="0"/>
  </x:cellStyles>
  <x:dxfs count="2">
    <x:dxf>
      <x:font>
        <x:b/>
        <x:color rgb="FF166534"/>
      </x:font>
      <x:fill>
        <x:patternFill patternType="solid">
          <x:bgColor rgb="FFE5F4EC"/>
        </x:patternFill>
      </x:fill>
    </x:dxf>
    <x:dxf>
      <x:font>
        <x:color rgb="FF9A5800"/>
      </x:font>
      <x:fill>
        <x:patternFill patternType="solid">
          <x:bgColor rgb="FFFFF2D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1a1063599f4d79" /><Relationship Type="http://schemas.openxmlformats.org/officeDocument/2006/relationships/theme" Target="/xl/theme/theme1.xml" Id="Rc571e73b68c04ce5" /><Relationship Type="http://schemas.openxmlformats.org/officeDocument/2006/relationships/sharedStrings" Target="/xl/sharedStrings.xml" Id="R7f5d98372f5b4bba" /><Relationship Type="http://schemas.openxmlformats.org/officeDocument/2006/relationships/worksheet" Target="/xl/worksheets/sheet1.xml" Id="R89a5925b91fb4313" /><Relationship Type="http://schemas.openxmlformats.org/officeDocument/2006/relationships/worksheet" Target="/xl/worksheets/sheet2.xml" Id="Ra9cbd8bedc8244ab" /><Relationship Type="http://schemas.openxmlformats.org/officeDocument/2006/relationships/worksheet" Target="/xl/worksheets/sheet3.xml" Id="Rc85649b479024adf" /><Relationship Type="http://schemas.openxmlformats.org/officeDocument/2006/relationships/worksheet" Target="/xl/worksheets/sheet4.xml" Id="Rea514a856e084485" /><Relationship Type="http://schemas.openxmlformats.org/officeDocument/2006/relationships/worksheet" Target="/xl/worksheets/sheet5.xml" Id="R7163f78ba3294bd7" /></Relationships>
</file>

<file path=xl/tables/table1.xml><?xml version="1.0" encoding="utf-8"?>
<x:table xmlns:x="http://schemas.openxmlformats.org/spreadsheetml/2006/main" id="1" name="Table_12_8" displayName="Table_12_8" ref="A1:H13" headerRowCount="1" totalsRowCount="0" totalsRowShown="0">
  <x:tableColumns count="8">
    <x:tableColumn id="1" name="编号"/>
    <x:tableColumn id="2" name="验证层级"/>
    <x:tableColumn id="3" name="通过数量"/>
    <x:tableColumn id="4" name="失败数量"/>
    <x:tableColumn id="5" name="执行状态"/>
    <x:tableColumn id="6" name="真实范围"/>
    <x:tableColumn id="7" name="证据路径"/>
    <x:tableColumn id="8" name="不能替代什么"/>
  </x:tableColumns>
  <x:tableStyleInfo name="TableStyleMedium2" showFirstColumn="0" showLastColumn="0" showRowStripes="1" showColumnStripes="0"/>
</x:table>
</file>

<file path=xl/tables/table2.xml><?xml version="1.0" encoding="utf-8"?>
<x:table xmlns:x="http://schemas.openxmlformats.org/spreadsheetml/2006/main" id="2" name="Table_25_8" displayName="Table_25_8" ref="A1:H26" headerRowCount="1" totalsRowCount="0" totalsRowShown="0">
  <x:tableColumns count="8">
    <x:tableColumn id="1" name="差异"/>
    <x:tableColumn id="2" name="优先级"/>
    <x:tableColumn id="3" name="采购/要求条号"/>
    <x:tableColumn id="4" name="本轮阶段"/>
    <x:tableColumn id="5" name="真实新增/接入"/>
    <x:tableColumn id="6" name="代码与证据"/>
    <x:tableColumn id="7" name="剩余工作/验收限制"/>
    <x:tableColumn id="8" name="正式关闭"/>
  </x:tableColumns>
  <x:tableStyleInfo name="TableStyleMedium2" showFirstColumn="0" showLastColumn="0" showRowStripes="1" showColumnStripes="0"/>
</x:table>
</file>

<file path=xl/tables/table3.xml><?xml version="1.0" encoding="utf-8"?>
<x:table xmlns:x="http://schemas.openxmlformats.org/spreadsheetml/2006/main" id="3" name="Table_101_8" displayName="Table_101_8" ref="A1:H102" headerRowCount="1" totalsRowCount="0" totalsRowShown="0">
  <x:tableColumns count="8">
    <x:tableColumn id="1" name="条款"/>
    <x:tableColumn id="2" name="采购项目"/>
    <x:tableColumn id="3" name="PDF页"/>
    <x:tableColumn id="4" name="采购原文（保留）"/>
    <x:tableColumn id="5" name="关联差异"/>
    <x:tableColumn id="6" name="R2推进层级"/>
    <x:tableColumn id="7" name="审计原发现（历史）"/>
    <x:tableColumn id="8" name="最终验收说明"/>
  </x:tableColumns>
  <x:tableStyleInfo name="TableStyleMedium2" showFirstColumn="0" showLastColumn="0" showRowStripes="1" showColumnStripes="0"/>
</x:table>
</file>

<file path=xl/tables/table4.xml><?xml version="1.0" encoding="utf-8"?>
<x:table xmlns:x="http://schemas.openxmlformats.org/spreadsheetml/2006/main" id="4" name="Table_15_5" displayName="Table_15_5" ref="A1:E16" headerRowCount="1" totalsRowCount="0" totalsRowShown="0">
  <x:tableColumns count="5">
    <x:tableColumn id="1" name="编号"/>
    <x:tableColumn id="2" name="待补文件或验收项"/>
    <x:tableColumn id="3" name="状态"/>
    <x:tableColumn id="4" name="实际缺口"/>
    <x:tableColumn id="5" name="禁止误判"/>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f1da5a103f44220" /></Relationships>
</file>

<file path=xl/worksheets/_rels/sheet3.xml.rels>&#65279;<?xml version="1.0" encoding="utf-8"?><Relationships xmlns="http://schemas.openxmlformats.org/package/2006/relationships"><Relationship Type="http://schemas.openxmlformats.org/officeDocument/2006/relationships/table" Target="/xl/tables/table2.xml" Id="R35828701419d4ac6" /></Relationships>
</file>

<file path=xl/worksheets/_rels/sheet4.xml.rels>&#65279;<?xml version="1.0" encoding="utf-8"?><Relationships xmlns="http://schemas.openxmlformats.org/package/2006/relationships"><Relationship Type="http://schemas.openxmlformats.org/officeDocument/2006/relationships/table" Target="/xl/tables/table3.xml" Id="R586be6e30efc4a68" /></Relationships>
</file>

<file path=xl/worksheets/_rels/sheet5.xml.rels>&#65279;<?xml version="1.0" encoding="utf-8"?><Relationships xmlns="http://schemas.openxmlformats.org/package/2006/relationships"><Relationship Type="http://schemas.openxmlformats.org/officeDocument/2006/relationships/table" Target="/xl/tables/table4.xml" Id="Rccb34cc99b7340b0"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5" customHeight="1">
      <x:c r="A1" s="24" t="str">
        <x:v>跃科 · 非学历教育智慧前台｜P0-R2 施工检查点</x:v>
      </x:c>
      <x:c r="B1" s="24"/>
      <x:c r="C1" s="24"/>
      <x:c r="D1" s="24"/>
      <x:c r="E1" s="24"/>
      <x:c r="F1" s="24"/>
      <x:c r="G1" s="24"/>
      <x:c r="H1" s="24"/>
    </x:row>
    <x:row r="2" ht="25" customHeight="1">
      <x:c r="A2" s="24"/>
      <x:c r="B2" s="24"/>
      <x:c r="C2" s="24"/>
      <x:c r="D2" s="24"/>
      <x:c r="E2" s="24"/>
      <x:c r="F2" s="24"/>
      <x:c r="G2" s="24"/>
      <x:c r="H2" s="24"/>
    </x:row>
    <x:row r="3" ht="25" customHeight="1">
      <x:c r="A3" s="28" t="str">
        <x:v>2026-09-17  ·  基线P0-R1  ·  原模型/计算/前端入口保留  ·  不是学校最终部署包</x:v>
      </x:c>
      <x:c r="B3" s="28"/>
      <x:c r="C3" s="28"/>
      <x:c r="D3" s="28"/>
      <x:c r="E3" s="28"/>
      <x:c r="F3" s="28"/>
      <x:c r="G3" s="28"/>
      <x:c r="H3" s="28"/>
    </x:row>
    <x:row r="4" ht="25" customHeight="1">
      <x:c r="A4" s="19"/>
      <x:c r="B4" s="19"/>
      <x:c r="C4" s="19"/>
      <x:c r="D4" s="19"/>
      <x:c r="E4" s="19"/>
      <x:c r="F4" s="19"/>
      <x:c r="G4" s="19"/>
      <x:c r="H4" s="19"/>
    </x:row>
    <x:row r="5" ht="25" customHeight="1">
      <x:c r="A5" s="32" t="str">
        <x:v>Python回归</x:v>
      </x:c>
      <x:c r="B5" s="32" t="str">
        <x:v>Python回归</x:v>
      </x:c>
      <x:c r="C5" s="32" t="str">
        <x:v>本轮新增测试</x:v>
      </x:c>
      <x:c r="D5" s="32" t="str">
        <x:v>本轮新增测试</x:v>
      </x:c>
      <x:c r="E5" s="32" t="str">
        <x:v>HTTP真实请求</x:v>
      </x:c>
      <x:c r="F5" s="32" t="str">
        <x:v>HTTP真实请求</x:v>
      </x:c>
      <x:c r="G5" s="32" t="str">
        <x:v>未齐套配套文件</x:v>
      </x:c>
      <x:c r="H5" s="32" t="str">
        <x:v>未齐套配套文件</x:v>
      </x:c>
    </x:row>
    <x:row r="6" ht="25" customHeight="1">
      <x:c r="A6" s="38" t="n">
        <x:f>'测试证据'!C4</x:f>
        <x:v>186</x:v>
      </x:c>
      <x:c r="B6" s="38"/>
      <x:c r="C6" s="38" t="n">
        <x:f>'测试证据'!C3</x:f>
        <x:v>81</x:v>
      </x:c>
      <x:c r="D6" s="38"/>
      <x:c r="E6" s="38" t="n">
        <x:v>90</x:v>
      </x:c>
      <x:c r="F6" s="38" t="n">
        <x:v>90</x:v>
      </x:c>
      <x:c r="G6" s="38" t="n">
        <x:f>COUNTA('待补与验收边界'!A2:A9)</x:f>
        <x:v>8</x:v>
      </x:c>
      <x:c r="H6" s="38"/>
    </x:row>
    <x:row r="7" ht="25" customHeight="1">
      <x:c r="A7" s="38"/>
      <x:c r="B7" s="38"/>
      <x:c r="C7" s="38"/>
      <x:c r="D7" s="38"/>
      <x:c r="E7" s="38" t="n">
        <x:v>90</x:v>
      </x:c>
      <x:c r="F7" s="38" t="n">
        <x:v>90</x:v>
      </x:c>
      <x:c r="G7" s="38"/>
      <x:c r="H7" s="38"/>
    </x:row>
    <x:row r="8" ht="25" customHeight="1">
      <x:c r="A8" s="19"/>
      <x:c r="B8" s="19"/>
      <x:c r="C8" s="19"/>
      <x:c r="D8" s="19"/>
      <x:c r="E8" s="19"/>
      <x:c r="F8" s="19"/>
      <x:c r="G8" s="19"/>
      <x:c r="H8" s="19"/>
    </x:row>
    <x:row r="9" ht="25" customHeight="1">
      <x:c r="A9" s="44" t="str">
        <x:v>发布裁决：BLOCKED。8个部署配套文件及原迁移图仍缺；不得替换学校服务器。</x:v>
      </x:c>
      <x:c r="B9" s="44"/>
      <x:c r="C9" s="44"/>
      <x:c r="D9" s="44"/>
      <x:c r="E9" s="44"/>
      <x:c r="F9" s="44"/>
      <x:c r="G9" s="44"/>
      <x:c r="H9" s="44"/>
    </x:row>
    <x:row r="10" ht="25" customHeight="1">
      <x:c r="A10" s="44"/>
      <x:c r="B10" s="44"/>
      <x:c r="C10" s="44"/>
      <x:c r="D10" s="44"/>
      <x:c r="E10" s="44"/>
      <x:c r="F10" s="44"/>
      <x:c r="G10" s="44"/>
      <x:c r="H10" s="44"/>
    </x:row>
    <x:row r="11" ht="25" customHeight="1">
      <x:c r="A11" s="19"/>
      <x:c r="B11" s="19"/>
      <x:c r="C11" s="19"/>
      <x:c r="D11" s="19"/>
      <x:c r="E11" s="19"/>
      <x:c r="F11" s="19"/>
      <x:c r="G11" s="19"/>
      <x:c r="H11" s="19"/>
    </x:row>
    <x:row r="12" ht="25" customHeight="1">
      <x:c r="A12" s="49" t="str">
        <x:v>本轮接回：同源Cookie登录与首登改密、4级权限、组织/账号/角色、培训台账、资质及实际附件、积分确认与更正、教师考核逐级审核归档、待办与审计。</x:v>
      </x:c>
      <x:c r="B12" s="49"/>
      <x:c r="C12" s="49"/>
      <x:c r="D12" s="49"/>
      <x:c r="E12" s="49"/>
      <x:c r="F12" s="49"/>
      <x:c r="G12" s="49"/>
      <x:c r="H12" s="49"/>
    </x:row>
    <x:row r="13" ht="25" customHeight="1">
      <x:c r="A13" s="49"/>
      <x:c r="B13" s="49"/>
      <x:c r="C13" s="49"/>
      <x:c r="D13" s="49"/>
      <x:c r="E13" s="49"/>
      <x:c r="F13" s="49"/>
      <x:c r="G13" s="49"/>
      <x:c r="H13" s="49"/>
    </x:row>
    <x:row r="14" ht="25" customHeight="1">
      <x:c r="A14" s="49"/>
      <x:c r="B14" s="49"/>
      <x:c r="C14" s="49"/>
      <x:c r="D14" s="49"/>
      <x:c r="E14" s="49"/>
      <x:c r="F14" s="49"/>
      <x:c r="G14" s="49"/>
      <x:c r="H14" s="49"/>
    </x:row>
    <x:row r="15" ht="25" customHeight="1">
      <x:c r="A15" s="19"/>
      <x:c r="B15" s="19"/>
      <x:c r="C15" s="19"/>
      <x:c r="D15" s="19"/>
      <x:c r="E15" s="19"/>
      <x:c r="F15" s="19"/>
      <x:c r="G15" s="19"/>
      <x:c r="H15" s="19"/>
    </x:row>
    <x:row r="16" ht="25" customHeight="1">
      <x:c r="A16" s="49" t="str">
        <x:v>证据边界：186项Python＋12项Node通过；4个HTTP客户端完成90次请求、22项检查。数据库是隔离SQLite；没有将这些结果当成MySQL或学校验收。</x:v>
      </x:c>
      <x:c r="B16" s="49"/>
      <x:c r="C16" s="49"/>
      <x:c r="D16" s="49"/>
      <x:c r="E16" s="49"/>
      <x:c r="F16" s="49"/>
      <x:c r="G16" s="49"/>
      <x:c r="H16" s="49"/>
    </x:row>
    <x:row r="17" ht="25" customHeight="1">
      <x:c r="A17" s="49"/>
      <x:c r="B17" s="49"/>
      <x:c r="C17" s="49"/>
      <x:c r="D17" s="49"/>
      <x:c r="E17" s="49"/>
      <x:c r="F17" s="49"/>
      <x:c r="G17" s="49"/>
      <x:c r="H17" s="49"/>
    </x:row>
    <x:row r="18" ht="25" customHeight="1">
      <x:c r="A18" s="49"/>
      <x:c r="B18" s="49"/>
      <x:c r="C18" s="49"/>
      <x:c r="D18" s="49"/>
      <x:c r="E18" s="49"/>
      <x:c r="F18" s="49"/>
      <x:c r="G18" s="49"/>
      <x:c r="H18" s="49"/>
    </x:row>
    <x:row r="19" ht="25" customHeight="1">
      <x:c r="A19" s="19"/>
      <x:c r="B19" s="19"/>
      <x:c r="C19" s="19"/>
      <x:c r="D19" s="19"/>
      <x:c r="E19" s="19"/>
      <x:c r="F19" s="19"/>
      <x:c r="G19" s="19"/>
      <x:c r="H19" s="19"/>
    </x:row>
    <x:row r="20" ht="25" customHeight="1">
      <x:c r="A20" s="49" t="str">
        <x:v>浏览器：完整Chromium网络流程因ERR_BLOCKED_BY_ADMINISTRATOR失败，0业务步骤通过。另做真实loginView离线外观检查，修复390px布局溢出；仅外观，不是登录通过。</x:v>
      </x:c>
      <x:c r="B20" s="49"/>
      <x:c r="C20" s="49"/>
      <x:c r="D20" s="49"/>
      <x:c r="E20" s="49"/>
      <x:c r="F20" s="49"/>
      <x:c r="G20" s="49"/>
      <x:c r="H20" s="49"/>
    </x:row>
    <x:row r="21" ht="25" customHeight="1">
      <x:c r="A21" s="49"/>
      <x:c r="B21" s="49"/>
      <x:c r="C21" s="49"/>
      <x:c r="D21" s="49"/>
      <x:c r="E21" s="49"/>
      <x:c r="F21" s="49"/>
      <x:c r="G21" s="49"/>
      <x:c r="H21" s="49"/>
    </x:row>
    <x:row r="22" ht="25" customHeight="1">
      <x:c r="A22" s="49"/>
      <x:c r="B22" s="49"/>
      <x:c r="C22" s="49"/>
      <x:c r="D22" s="49"/>
      <x:c r="E22" s="49"/>
      <x:c r="F22" s="49"/>
      <x:c r="G22" s="49"/>
      <x:c r="H22" s="49"/>
    </x:row>
    <x:row r="23" ht="25" customHeight="1">
      <x:c r="A23" s="19"/>
      <x:c r="B23" s="19"/>
      <x:c r="C23" s="19"/>
      <x:c r="D23" s="19"/>
      <x:c r="E23" s="19"/>
      <x:c r="F23" s="19"/>
      <x:c r="G23" s="19"/>
      <x:c r="H23" s="19"/>
    </x:row>
    <x:row r="24" ht="25" customHeight="1">
      <x:c r="A24" s="49" t="str">
        <x:v>仍需施工：独立组织考核、Excel执行器、正式接口适配/worker、原迁移及机房部署链、完整安全/浏览器/性能/学校样本。14个原缺件本轮为新写实现，不冒充恢复原文件。</x:v>
      </x:c>
      <x:c r="B24" s="49"/>
      <x:c r="C24" s="49"/>
      <x:c r="D24" s="49"/>
      <x:c r="E24" s="49"/>
      <x:c r="F24" s="49"/>
      <x:c r="G24" s="49"/>
      <x:c r="H24" s="49"/>
    </x:row>
    <x:row r="25" ht="25" customHeight="1">
      <x:c r="A25" s="49"/>
      <x:c r="B25" s="49"/>
      <x:c r="C25" s="49"/>
      <x:c r="D25" s="49"/>
      <x:c r="E25" s="49"/>
      <x:c r="F25" s="49"/>
      <x:c r="G25" s="49"/>
      <x:c r="H25" s="49"/>
    </x:row>
    <x:row r="26" ht="25" customHeight="1">
      <x:c r="A26" s="49"/>
      <x:c r="B26" s="49"/>
      <x:c r="C26" s="49"/>
      <x:c r="D26" s="49"/>
      <x:c r="E26" s="49"/>
      <x:c r="F26" s="49"/>
      <x:c r="G26" s="49"/>
      <x:c r="H26" s="49"/>
    </x:row>
    <x:row r="27" ht="25" customHeight="1">
      <x:c r="A27" s="19"/>
      <x:c r="B27" s="19"/>
      <x:c r="C27" s="19"/>
      <x:c r="D27" s="19"/>
      <x:c r="E27" s="19"/>
      <x:c r="F27" s="19"/>
      <x:c r="G27" s="19"/>
      <x:c r="H27" s="19"/>
    </x:row>
    <x:row r="28" ht="25" customHeight="1">
      <x:c r="A28" s="49" t="str">
        <x:v>本工作簿保留101条采购原文并更新25组纠偏推进；“测试PASS”只属于相应测试层级。25组差异均未标为正式关闭。</x:v>
      </x:c>
      <x:c r="B28" s="49"/>
      <x:c r="C28" s="49"/>
      <x:c r="D28" s="49"/>
      <x:c r="E28" s="49"/>
      <x:c r="F28" s="49"/>
      <x:c r="G28" s="49"/>
      <x:c r="H28" s="49"/>
    </x:row>
    <x:row r="29" ht="25" customHeight="1">
      <x:c r="A29" s="49"/>
      <x:c r="B29" s="49"/>
      <x:c r="C29" s="49"/>
      <x:c r="D29" s="49"/>
      <x:c r="E29" s="49"/>
      <x:c r="F29" s="49"/>
      <x:c r="G29" s="49"/>
      <x:c r="H29" s="49"/>
    </x:row>
    <x:row r="30" ht="25" customHeight="1">
      <x:c r="A30" s="49"/>
      <x:c r="B30" s="49"/>
      <x:c r="C30" s="49"/>
      <x:c r="D30" s="49"/>
      <x:c r="E30" s="49"/>
      <x:c r="F30" s="49"/>
      <x:c r="G30" s="49"/>
      <x:c r="H30" s="49"/>
    </x:row>
    <x:row r="31" ht="25" customHeight="1">
      <x:c r="A31" s="19"/>
      <x:c r="B31" s="19"/>
      <x:c r="C31" s="19"/>
      <x:c r="D31" s="19"/>
      <x:c r="E31" s="19"/>
      <x:c r="F31" s="19"/>
      <x:c r="G31" s="19"/>
      <x:c r="H31" s="19"/>
    </x:row>
    <x:row r="32" ht="25" customHeight="1">
      <x:c r="A32" s="19"/>
      <x:c r="B32" s="19"/>
      <x:c r="C32" s="19"/>
      <x:c r="D32" s="19"/>
      <x:c r="E32" s="19"/>
      <x:c r="F32" s="19"/>
      <x:c r="G32" s="19"/>
      <x:c r="H32" s="19"/>
    </x:row>
  </x:sheetData>
  <x:mergeCells>
    <x:mergeCell ref="A1:H2"/>
    <x:mergeCell ref="A3:H3"/>
    <x:mergeCell ref="A5:B5"/>
    <x:mergeCell ref="A6:B7"/>
    <x:mergeCell ref="C5:D5"/>
    <x:mergeCell ref="C6:D7"/>
    <x:mergeCell ref="E5:F5"/>
    <x:mergeCell ref="E6:F7"/>
    <x:mergeCell ref="G5:H5"/>
    <x:mergeCell ref="G6:H7"/>
    <x:mergeCell ref="A9:H10"/>
    <x:mergeCell ref="A12:H14"/>
    <x:mergeCell ref="A16:H18"/>
    <x:mergeCell ref="A20:H22"/>
    <x:mergeCell ref="A24:H26"/>
    <x:mergeCell ref="A28:H30"/>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25" hidden="0" customWidth="1"/>
    <x:col min="3" max="3" width="12" hidden="0" customWidth="1"/>
    <x:col min="4" max="4" width="12" hidden="0" customWidth="1"/>
    <x:col min="5" max="5" width="27" hidden="0" customWidth="1"/>
    <x:col min="6" max="6" width="42" hidden="0" customWidth="1"/>
    <x:col min="7" max="7" width="43" hidden="0" customWidth="1"/>
    <x:col min="8" max="8" width="39" hidden="0" customWidth="1"/>
  </x:cols>
  <x:sheetData>
    <x:row r="1" ht="32" customHeight="1">
      <x:c r="A1" s="9" t="str">
        <x:v>编号</x:v>
      </x:c>
      <x:c r="B1" s="9" t="str">
        <x:v>验证层级</x:v>
      </x:c>
      <x:c r="C1" s="9" t="str">
        <x:v>通过数量</x:v>
      </x:c>
      <x:c r="D1" s="9" t="str">
        <x:v>失败数量</x:v>
      </x:c>
      <x:c r="E1" s="9" t="str">
        <x:v>执行状态</x:v>
      </x:c>
      <x:c r="F1" s="9" t="str">
        <x:v>真实范围</x:v>
      </x:c>
      <x:c r="G1" s="9" t="str">
        <x:v>证据路径</x:v>
      </x:c>
      <x:c r="H1" s="9" t="str">
        <x:v>不能替代什么</x:v>
      </x:c>
    </x:row>
    <x:row r="2" ht="58" customHeight="1">
      <x:c r="A2" s="4" t="str">
        <x:v>T01</x:v>
      </x:c>
      <x:c r="B2" s="4" t="str">
        <x:v>R1保留回归</x:v>
      </x:c>
      <x:c r="C2" s="14" t="n">
        <x:v>105</x:v>
      </x:c>
      <x:c r="D2" s="14" t="n">
        <x:v>0</x:v>
      </x:c>
      <x:c r="E2" s="4" t="str">
        <x:v>PASS</x:v>
      </x:c>
      <x:c r="F2" s="4" t="str">
        <x:v>隔离SQLite、函数与故障注入</x:v>
      </x:c>
      <x:c r="G2" s="4" t="str">
        <x:v>evidence/r2/r1-baseline.log</x:v>
      </x:c>
      <x:c r="H2" s="4" t="str">
        <x:v>不是MySQL或整条采购终验</x:v>
      </x:c>
    </x:row>
    <x:row r="3" ht="58" customHeight="1">
      <x:c r="A3" s="12" t="str">
        <x:v>T02</x:v>
      </x:c>
      <x:c r="B3" s="12" t="str">
        <x:v>R2新增认证/业务/安全</x:v>
      </x:c>
      <x:c r="C3" s="15" t="n">
        <x:v>81</x:v>
      </x:c>
      <x:c r="D3" s="15" t="n">
        <x:v>0</x:v>
      </x:c>
      <x:c r="E3" s="12" t="str">
        <x:v>PASS</x:v>
      </x:c>
      <x:c r="F3" s="12" t="str">
        <x:v>完整应用API、数据库事务与输入/结构测试</x:v>
      </x:c>
      <x:c r="G3" s="12" t="str">
        <x:v>tests/r2；final-pytest.xml</x:v>
      </x:c>
      <x:c r="H3" s="12" t="str">
        <x:v>新增测试不是81条完整E2E</x:v>
      </x:c>
    </x:row>
    <x:row r="4" ht="58" customHeight="1">
      <x:c r="A4" s="4" t="str">
        <x:v>T03</x:v>
      </x:c>
      <x:c r="B4" s="4" t="str">
        <x:v>最终Python合计</x:v>
      </x:c>
      <x:c r="C4" s="14" t="n">
        <x:f>SUM(C2:C3)</x:f>
        <x:v>186</x:v>
      </x:c>
      <x:c r="D4" s="14" t="n">
        <x:v>0</x:v>
      </x:c>
      <x:c r="E4" s="4" t="str">
        <x:v>PASS</x:v>
      </x:c>
      <x:c r="F4" s="4" t="str">
        <x:v>同一源码完整pytest集合</x:v>
      </x:c>
      <x:c r="G4" s="4" t="str">
        <x:v>evidence/r2/final-pytest.log/xml</x:v>
      </x:c>
      <x:c r="H4" s="4" t="str">
        <x:v>R1 105＋R2 81</x:v>
      </x:c>
    </x:row>
    <x:row r="5" ht="58" customHeight="1">
      <x:c r="A5" s="12" t="str">
        <x:v>T04</x:v>
      </x:c>
      <x:c r="B5" s="12" t="str">
        <x:v>前端Node</x:v>
      </x:c>
      <x:c r="C5" s="15" t="n">
        <x:v>12</x:v>
      </x:c>
      <x:c r="D5" s="15" t="n">
        <x:v>0</x:v>
      </x:c>
      <x:c r="E5" s="12" t="str">
        <x:v>PASS</x:v>
      </x:c>
      <x:c r="F5" s="12" t="str">
        <x:v>查询范围与真实app函数</x:v>
      </x:c>
      <x:c r="G5" s="12" t="str">
        <x:v>evidence/r2/final-node.log</x:v>
      </x:c>
      <x:c r="H5" s="12" t="str">
        <x:v>不是浏览器导航验收</x:v>
      </x:c>
    </x:row>
    <x:row r="6" ht="58" customHeight="1">
      <x:c r="A6" s="4" t="str">
        <x:v>T05</x:v>
      </x:c>
      <x:c r="B6" s="4" t="str">
        <x:v>真实TCP HTTP</x:v>
      </x:c>
      <x:c r="C6" s="14" t="n">
        <x:v>22</x:v>
      </x:c>
      <x:c r="D6" s="14" t="n">
        <x:v>0</x:v>
      </x:c>
      <x:c r="E6" s="4" t="str">
        <x:v>PASS</x:v>
      </x:c>
      <x:c r="F6" s="4" t="str">
        <x:v>4账号；90次请求；Cookie+CSRF+SQLite</x:v>
      </x:c>
      <x:c r="G6" s="4" t="str">
        <x:v>evidence/r2/http-native/http-results.json</x:v>
      </x:c>
      <x:c r="H6" s="4" t="str">
        <x:v>无TLS、无MySQL、非浏览器</x:v>
      </x:c>
    </x:row>
    <x:row r="7" ht="58" customHeight="1">
      <x:c r="A7" s="12" t="str">
        <x:v>T06</x:v>
      </x:c>
      <x:c r="B7" s="12" t="str">
        <x:v>Chromium网络业务链</x:v>
      </x:c>
      <x:c r="C7" s="15" t="n">
        <x:v>0</x:v>
      </x:c>
      <x:c r="D7" s="15"/>
      <x:c r="E7" s="12" t="str">
        <x:v>BLOCKED_ENVIRONMENT</x:v>
      </x:c>
      <x:c r="F7" s="12" t="str">
        <x:v>首个导航即被管理员策略阻断</x:v>
      </x:c>
      <x:c r="G7" s="12" t="str">
        <x:v>evidence/r2/browser-native/browser-results.json</x:v>
      </x:c>
      <x:c r="H7" s="12" t="str">
        <x:v>原记录FAIL；0业务步骤执行</x:v>
      </x:c>
    </x:row>
    <x:row r="8" ht="58" customHeight="1">
      <x:c r="A8" s="4" t="str">
        <x:v>T07</x:v>
      </x:c>
      <x:c r="B8" s="4" t="str">
        <x:v>登录页离线外观</x:v>
      </x:c>
      <x:c r="C8" s="14" t="n">
        <x:v>2</x:v>
      </x:c>
      <x:c r="D8" s="14" t="n">
        <x:v>0</x:v>
      </x:c>
      <x:c r="E8" s="4" t="str">
        <x:v>PASS</x:v>
      </x:c>
      <x:c r="F8" s="4" t="str">
        <x:v>1440/390px；当前loginView；0网络请求</x:v>
      </x:c>
      <x:c r="G8" s="4" t="str">
        <x:v>evidence/r2/static-login/appearance-results.json</x:v>
      </x:c>
      <x:c r="H8" s="4" t="str">
        <x:v>仅外观；不证明能登录</x:v>
      </x:c>
    </x:row>
    <x:row r="9" ht="58" customHeight="1">
      <x:c r="A9" s="12" t="str">
        <x:v>T08</x:v>
      </x:c>
      <x:c r="B9" s="12" t="str">
        <x:v>MySQL 8.4</x:v>
      </x:c>
      <x:c r="C9" s="15" t="n">
        <x:v>0</x:v>
      </x:c>
      <x:c r="D9" s="15"/>
      <x:c r="E9" s="12" t="str">
        <x:v>NOT_EXECUTED</x:v>
      </x:c>
      <x:c r="F9" s="12" t="str">
        <x:v>当前无MySQL服务</x:v>
      </x:c>
      <x:c r="G9" s="12" t="str">
        <x:v>evidence/r2/validation.json</x:v>
      </x:c>
      <x:c r="H9" s="12" t="str">
        <x:v>禁止用SQLite代替</x:v>
      </x:c>
    </x:row>
    <x:row r="10" ht="58" customHeight="1">
      <x:c r="A10" s="4" t="str">
        <x:v>T09</x:v>
      </x:c>
      <x:c r="B10" s="4" t="str">
        <x:v>Docker/机房HTTPS</x:v>
      </x:c>
      <x:c r="C10" s="14" t="n">
        <x:v>0</x:v>
      </x:c>
      <x:c r="D10" s="14"/>
      <x:c r="E10" s="4" t="str">
        <x:v>NOT_EXECUTED</x:v>
      </x:c>
      <x:c r="F10" s="4" t="str">
        <x:v>当前未构建、未部署、未恢复演练</x:v>
      </x:c>
      <x:c r="G10" s="4" t="str">
        <x:v>evidence/r2/assembly-final.json</x:v>
      </x:c>
      <x:c r="H10" s="4" t="str">
        <x:v>原部署配套仍缺</x:v>
      </x:c>
    </x:row>
    <x:row r="11" ht="58" customHeight="1">
      <x:c r="A11" s="12" t="str">
        <x:v>T10</x:v>
      </x:c>
      <x:c r="B11" s="12" t="str">
        <x:v>100并发/3000在线</x:v>
      </x:c>
      <x:c r="C11" s="15" t="n">
        <x:v>0</x:v>
      </x:c>
      <x:c r="D11" s="15"/>
      <x:c r="E11" s="12" t="str">
        <x:v>NOT_EXECUTED</x:v>
      </x:c>
      <x:c r="F11" s="12" t="str">
        <x:v>没有并发负载验收</x:v>
      </x:c>
      <x:c r="G11" s="12" t="str">
        <x:v>采购13.7—13.8</x:v>
      </x:c>
      <x:c r="H11" s="12" t="str">
        <x:v>单例并发测试不代表压测</x:v>
      </x:c>
    </x:row>
    <x:row r="12" ht="58" customHeight="1">
      <x:c r="A12" s="4" t="str">
        <x:v>T11</x:v>
      </x:c>
      <x:c r="B12" s="4" t="str">
        <x:v>学校真实双轨样本</x:v>
      </x:c>
      <x:c r="C12" s="14" t="n">
        <x:v>0</x:v>
      </x:c>
      <x:c r="D12" s="14"/>
      <x:c r="E12" s="4" t="str">
        <x:v>NOT_EXECUTED</x:v>
      </x:c>
      <x:c r="F12" s="4" t="str">
        <x:v>只使用合成流程样本</x:v>
      </x:c>
      <x:c r="G12" s="4" t="str">
        <x:v>采购9.7、10.7</x:v>
      </x:c>
      <x:c r="H12" s="4" t="str">
        <x:v>不能宣称正式100%一致</x:v>
      </x:c>
    </x:row>
    <x:row r="13" ht="58" customHeight="1">
      <x:c r="A13" s="12" t="str">
        <x:v>T12</x:v>
      </x:c>
      <x:c r="B13" s="12" t="str">
        <x:v>生产源码齐套</x:v>
      </x:c>
      <x:c r="C13" s="15" t="n">
        <x:v>0</x:v>
      </x:c>
      <x:c r="D13" s="15"/>
      <x:c r="E13" s="12" t="str">
        <x:v>BLOCKED</x:v>
      </x:c>
      <x:c r="F13" s="12" t="str">
        <x:v>8个配套文件＋原迁移图缺失</x:v>
      </x:c>
      <x:c r="G13" s="12" t="str">
        <x:v>evidence/r2/assembly-final.json</x:v>
      </x:c>
      <x:c r="H13" s="12" t="str">
        <x:v>生产发布未放行</x:v>
      </x:c>
    </x:row>
  </x:sheetData>
  <x:conditionalFormatting sqref="E2:E13">
    <x:cfRule type="expression" dxfId="0" priority="1">
      <x:formula>E2="PASS"</x:formula>
    </x:cfRule>
    <x:cfRule type="expression" dxfId="1" priority="2">
      <x:formula>E2&lt;&gt;"PASS"</x:formula>
    </x:cfRule>
  </x:conditionalFormatting>
  <x:dataValidations count="1">
    <x:dataValidation type="list" sqref="E2:E13">
      <x:formula1>"PASS,BLOCKED,BLOCKED_ENVIRONMENT,NOT_EXECUTED"</x:formula1>
    </x:dataValidation>
  </x:dataValidations>
  <x:pageMargins left="0.7" right="0.7" top="0.75" bottom="0.75" header="0.3" footer="0.3"/>
  <x:tableParts count="1">
    <x:tablePart xmlns:r="http://schemas.openxmlformats.org/officeDocument/2006/relationships" r:id="Rcf1da5a103f44220"/>
  </x:tableParts>
</x:worksheet>
</file>

<file path=xl/worksheets/sheet3.xml><?xml version="1.0" encoding="utf-8"?>
<x:worksheet xmlns:x="http://schemas.openxmlformats.org/spreadsheetml/2006/main">
  <x:sheetFormatPr defaultRowHeight="15"/>
  <x:cols>
    <x:col min="1" max="1" width="9" hidden="0" customWidth="1"/>
    <x:col min="2" max="2" width="9" hidden="0" customWidth="1"/>
    <x:col min="3" max="3" width="25" hidden="0" customWidth="1"/>
    <x:col min="4" max="4" width="28" hidden="0" customWidth="1"/>
    <x:col min="5" max="5" width="51" hidden="0" customWidth="1"/>
    <x:col min="6" max="6" width="43" hidden="0" customWidth="1"/>
    <x:col min="7" max="7" width="53" hidden="0" customWidth="1"/>
    <x:col min="8" max="8" width="12" hidden="0" customWidth="1"/>
  </x:cols>
  <x:sheetData>
    <x:row r="1" ht="32" customHeight="1">
      <x:c r="A1" s="9" t="str">
        <x:v>差异</x:v>
      </x:c>
      <x:c r="B1" s="9" t="str">
        <x:v>优先级</x:v>
      </x:c>
      <x:c r="C1" s="9" t="str">
        <x:v>采购/要求条号</x:v>
      </x:c>
      <x:c r="D1" s="9" t="str">
        <x:v>本轮阶段</x:v>
      </x:c>
      <x:c r="E1" s="9" t="str">
        <x:v>真实新增/接入</x:v>
      </x:c>
      <x:c r="F1" s="9" t="str">
        <x:v>代码与证据</x:v>
      </x:c>
      <x:c r="G1" s="9" t="str">
        <x:v>剩余工作/验收限制</x:v>
      </x:c>
      <x:c r="H1" s="9" t="str">
        <x:v>正式关闭</x:v>
      </x:c>
    </x:row>
    <x:row r="2" ht="92" customHeight="1">
      <x:c r="A2" s="4" t="str">
        <x:v>D01</x:v>
      </x:c>
      <x:c r="B2" s="4" t="str">
        <x:v>P0</x:v>
      </x:c>
      <x:c r="C2" s="4" t="str">
        <x:v>13.1 / 13.6 / 14.5</x:v>
      </x:c>
      <x:c r="D2" s="4" t="str">
        <x:v>运行核心已接回，部署仍阻断</x:v>
      </x:c>
      <x:c r="E2" s="4" t="str">
        <x:v>按原模型与前端契约新写14个原缺件；完整FastAPI应用可在隔离库启动。</x:v>
      </x:c>
      <x:c r="F2" s="4" t="str">
        <x:v>config.py/core.py/schemas.py/routes/*.py/releasecheck.py；index/icons/requirements</x:v>
      </x:c>
      <x:c r="G2" s="4" t="str">
        <x:v>仍缺8个部署配套文件、原Alembic图与生产初始化；新写文件不是原件恢复。</x:v>
      </x:c>
      <x:c r="H2" s="4" t="str">
        <x:v>否</x:v>
      </x:c>
    </x:row>
    <x:row r="3" ht="92" customHeight="1">
      <x:c r="A3" s="12" t="str">
        <x:v>D02</x:v>
      </x:c>
      <x:c r="B3" s="12" t="str">
        <x:v>P0</x:v>
      </x:c>
      <x:c r="C3" s="12" t="str">
        <x:v>10.1；用户续施工四对象要求</x:v>
      </x:c>
      <x:c r="D3" s="12" t="str">
        <x:v>未实施</x:v>
      </x:c>
      <x:c r="E3" s="12" t="str">
        <x:v>保留教师Assessment原结构和原计算；本轮未新增组织考核表。</x:v>
      </x:c>
      <x:c r="F3" s="12" t="str">
        <x:v>backend/app/models.py；services.py原样</x:v>
      </x:c>
      <x:c r="G3" s="12" t="str">
        <x:v>学校/学院/教研室独立规则、对象、证据、审批及迁移仍待实施。</x:v>
      </x:c>
      <x:c r="H3" s="12" t="str">
        <x:v>否</x:v>
      </x:c>
    </x:row>
    <x:row r="4" ht="92" customHeight="1">
      <x:c r="A4" s="4" t="str">
        <x:v>D03</x:v>
      </x:c>
      <x:c r="B4" s="4" t="str">
        <x:v>P0</x:v>
      </x:c>
      <x:c r="C4" s="4" t="str">
        <x:v>2.1,2.4；4.1-4.9；11.1,11.4,11.8,11.9；13.3</x:v>
      </x:c>
      <x:c r="D4" s="4" t="str">
        <x:v>只读状态接回</x:v>
      </x:c>
      <x:c r="E4" s="4" t="str">
        <x:v>GET connections/tasks/operations读取真实持久化状态，不创建假同步成功。</x:v>
      </x:c>
      <x:c r="F4" s="4" t="str">
        <x:v>routes/tasks.py</x:v>
      </x:c>
      <x:c r="G4" s="4" t="str">
        <x:v>SSO、正式adapter、映射保存/验证、重试、定时同步与worker待实施/恢复。</x:v>
      </x:c>
      <x:c r="H4" s="4" t="str">
        <x:v>否</x:v>
      </x:c>
    </x:row>
    <x:row r="5" ht="92" customHeight="1">
      <x:c r="A5" s="12" t="str">
        <x:v>D04</x:v>
      </x:c>
      <x:c r="B5" s="12" t="str">
        <x:v>P0</x:v>
      </x:c>
      <x:c r="C5" s="12" t="str">
        <x:v>4.1 / 11.3 / 7.2</x:v>
      </x:c>
      <x:c r="D5" s="12" t="str">
        <x:v>未实施</x:v>
      </x:c>
      <x:c r="E5" s="12" t="str">
        <x:v>没有更改来源数据模型，没有拿教师资质代替学员结业证书。</x:v>
      </x:c>
      <x:c r="F5" s="12" t="str">
        <x:v>models.py原样</x:v>
      </x:c>
      <x:c r="G5" s="12" t="str">
        <x:v>项目/课程主数据、计划、学习过程、结业、证书传输契约和落库待补。</x:v>
      </x:c>
      <x:c r="H5" s="12" t="str">
        <x:v>否</x:v>
      </x:c>
    </x:row>
    <x:row r="6" ht="92" customHeight="1">
      <x:c r="A6" s="4" t="str">
        <x:v>D05</x:v>
      </x:c>
      <x:c r="B6" s="4" t="str">
        <x:v>P0</x:v>
      </x:c>
      <x:c r="C6" s="4" t="str">
        <x:v>1.5 / 7.3 / 7.5；用户统一范围要求</x:v>
      </x:c>
      <x:c r="D6" s="4" t="str">
        <x:v>API与真实HTTP回归通过</x:v>
      </x:c>
      <x:c r="E6" s="4" t="str">
        <x:v>R1统一read_queries接到statistics和assessments列表；项目P1考核1人、P2无相关考核；归档分数不变。</x:v>
      </x:c>
      <x:c r="F6" s="4" t="str">
        <x:v>routes/business.py；routes/calculations.py；http-results.json</x:v>
      </x:c>
      <x:c r="G6" s="4" t="str">
        <x:v>Excel导出未接；真实MySQL和浏览器同口径验收仍待完成。</x:v>
      </x:c>
      <x:c r="H6" s="4" t="str">
        <x:v>否</x:v>
      </x:c>
    </x:row>
    <x:row r="7" ht="92" customHeight="1">
      <x:c r="A7" s="12" t="str">
        <x:v>D06</x:v>
      </x:c>
      <x:c r="B7" s="12" t="str">
        <x:v>P0</x:v>
      </x:c>
      <x:c r="C7" s="12" t="str">
        <x:v>1.5 / 5.3 / 6.4 / 7.3</x:v>
      </x:c>
      <x:c r="D7" s="12" t="str">
        <x:v>保留R1修复，浏览器待验</x:v>
      </x:c>
      <x:c r="E7" s="12" t="str">
        <x:v>原app.js/scope.js保留；12项Node筛选/往返/原函数测试再次通过。</x:v>
      </x:c>
      <x:c r="F7" s="12" t="str">
        <x:v>frontend/app.js/scope.js；final-node.log</x:v>
      </x:c>
      <x:c r="G7" s="12" t="str">
        <x:v>真实浏览器导航被环境策略阻断，不将离线登录渲染当功能联调。</x:v>
      </x:c>
      <x:c r="H7" s="12" t="str">
        <x:v>否</x:v>
      </x:c>
    </x:row>
    <x:row r="8" ht="92" customHeight="1">
      <x:c r="A8" s="4" t="str">
        <x:v>D07</x:v>
      </x:c>
      <x:c r="B8" s="4" t="str">
        <x:v>P1</x:v>
      </x:c>
      <x:c r="C8" s="4" t="str">
        <x:v>5.2 / 7.2 / 7.4 / 7.5</x:v>
      </x:c>
      <x:c r="D8" s="4" t="str">
        <x:v>待学校口径确认</x:v>
      </x:c>
      <x:c r="E8" s="4" t="str">
        <x:v>保留原统计定义，没有自行改变学校规模或得分分布制度。</x:v>
      </x:c>
      <x:c r="F8" s="4" t="str">
        <x:v>services.py原统计/评分基础</x:v>
      </x:c>
      <x:c r="G8" s="4" t="str">
        <x:v>活跃/存量规模、得分分段、负收入图表仍待核定与修复。</x:v>
      </x:c>
      <x:c r="H8" s="4" t="str">
        <x:v>否</x:v>
      </x:c>
    </x:row>
    <x:row r="9" ht="92" customHeight="1">
      <x:c r="A9" s="12" t="str">
        <x:v>D08</x:v>
      </x:c>
      <x:c r="B9" s="12" t="str">
        <x:v>P1</x:v>
      </x:c>
      <x:c r="C9" s="12" t="str">
        <x:v>9.1 / 9.2 / 10.1 / 10.8</x:v>
      </x:c>
      <x:c r="D9" s="12" t="str">
        <x:v>教师规则API回归通过</x:v>
      </x:c>
      <x:c r="E9" s="12" t="str">
        <x:v>草稿、试算、指纹匹配启用、100权重、复制版本、不影响历史已接入真实事务。</x:v>
      </x:c>
      <x:c r="F9" s="12" t="str">
        <x:v>routes/calculations.py；test_api.py</x:v>
      </x:c>
      <x:c r="G9" s="12" t="str">
        <x:v>实际学校规则类型、组织规则与双轨样本未验收；公式能力保持原范围。</x:v>
      </x:c>
      <x:c r="H9" s="12" t="str">
        <x:v>否</x:v>
      </x:c>
    </x:row>
    <x:row r="10" ht="92" customHeight="1">
      <x:c r="A10" s="4" t="str">
        <x:v>D09</x:v>
      </x:c>
      <x:c r="B10" s="4" t="str">
        <x:v>P1</x:v>
      </x:c>
      <x:c r="C10" s="4" t="str">
        <x:v>8.4 / 8.5 / 9.2 / 10.1</x:v>
      </x:c>
      <x:c r="D10" s="4" t="str">
        <x:v>待学校口径确认</x:v>
      </x:c>
      <x:c r="E10" s="4" t="str">
        <x:v>原facts/evaluate未修改，资质按期末有效、历史考核来源等假设未自动改成学校标准。</x:v>
      </x:c>
      <x:c r="F10" s="4" t="str">
        <x:v>services.py原函数保留</x:v>
      </x:c>
      <x:c r="G10" s="4" t="str">
        <x:v>学校确认取数、有效期、舍入口径后再配置并做真实样本比较。</x:v>
      </x:c>
      <x:c r="H10" s="4" t="str">
        <x:v>否</x:v>
      </x:c>
    </x:row>
    <x:row r="11" ht="92" customHeight="1">
      <x:c r="A11" s="12" t="str">
        <x:v>D10</x:v>
      </x:c>
      <x:c r="B11" s="12" t="str">
        <x:v>P1</x:v>
      </x:c>
      <x:c r="C11" s="12" t="str">
        <x:v>5.2 / 5.3 / 5.6</x:v>
      </x:c>
      <x:c r="D11" s="12" t="str">
        <x:v>工作台底层API接回</x:v>
      </x:c>
      <x:c r="E11" s="12" t="str">
        <x:v>教师可实际读取本人统计、资质、积分、考核、待办和通知。</x:v>
      </x:c>
      <x:c r="F11" s="12" t="str">
        <x:v>routes/business.py/calculations.py；test_api.py</x:v>
      </x:c>
      <x:c r="G11" s="12" t="str">
        <x:v>最近考核排序语义、参训/授课区分和完整首页浏览器仍待补。</x:v>
      </x:c>
      <x:c r="H11" s="12" t="str">
        <x:v>否</x:v>
      </x:c>
    </x:row>
    <x:row r="12" ht="92" customHeight="1">
      <x:c r="A12" s="4" t="str">
        <x:v>D11</x:v>
      </x:c>
      <x:c r="B12" s="4" t="str">
        <x:v>P1</x:v>
      </x:c>
      <x:c r="C12" s="4" t="str">
        <x:v>5.2 / 4.1 / 7.5</x:v>
      </x:c>
      <x:c r="D12" s="4" t="str">
        <x:v>未更改业务假设</x:v>
      </x:c>
      <x:c r="E12" s="4" t="str">
        <x:v>保留原培训记录粒度，不擅自合并不同教师收入与人次。</x:v>
      </x:c>
      <x:c r="F12" s="4" t="str">
        <x:v>models.py；services.py</x:v>
      </x:c>
      <x:c r="G12" s="4" t="str">
        <x:v>一班多教师、教师参训、退款更正需明确归属/去重样本。</x:v>
      </x:c>
      <x:c r="H12" s="4" t="str">
        <x:v>否</x:v>
      </x:c>
    </x:row>
    <x:row r="13" ht="92" customHeight="1">
      <x:c r="A13" s="12" t="str">
        <x:v>D12</x:v>
      </x:c>
      <x:c r="B13" s="12" t="str">
        <x:v>P1</x:v>
      </x:c>
      <x:c r="C13" s="12" t="str">
        <x:v>6.3 / 6.6</x:v>
      </x:c>
      <x:c r="D13" s="12" t="str">
        <x:v>待办服务接回，组织页待补</x:v>
      </x:c>
      <x:c r="E13" s="12" t="str">
        <x:v>真实todos服务覆盖资质/到期/考核/异议以及已有失败同步任务，按当前组织过滤。</x:v>
      </x:c>
      <x:c r="F13" s="12" t="str">
        <x:v>routes/business.py / todos</x:v>
      </x:c>
      <x:c r="G13" s="12" t="str">
        <x:v>分级管理页面尚未增加集中待办和进度卡；需要真实页面联调。</x:v>
      </x:c>
      <x:c r="H13" s="12" t="str">
        <x:v>否</x:v>
      </x:c>
    </x:row>
    <x:row r="14" ht="92" customHeight="1">
      <x:c r="A14" s="4" t="str">
        <x:v>D13</x:v>
      </x:c>
      <x:c r="B14" s="4" t="str">
        <x:v>P1</x:v>
      </x:c>
      <x:c r="C14" s="4" t="str">
        <x:v>10.9</x:v>
      </x:c>
      <x:c r="D14" s="4" t="str">
        <x:v>API条件已接回</x:v>
      </x:c>
      <x:c r="E14" s="4" t="str">
        <x:v>考核列表支持returned与环节及业务范围组合筛选，直接使用R1查询服务。</x:v>
      </x:c>
      <x:c r="F14" s="4" t="str">
        <x:v>routes/calculations.py；read_queries.py</x:v>
      </x:c>
      <x:c r="G14" s="4" t="str">
        <x:v>真实浏览器筛选/分页及导出同条件验证待完成。</x:v>
      </x:c>
      <x:c r="H14" s="4" t="str">
        <x:v>否</x:v>
      </x:c>
    </x:row>
    <x:row r="15" ht="92" customHeight="1">
      <x:c r="A15" s="12" t="str">
        <x:v>D14</x:v>
      </x:c>
      <x:c r="B15" s="12" t="str">
        <x:v>P1</x:v>
      </x:c>
      <x:c r="C15" s="12" t="str">
        <x:v>9.4-9.6 / 1.5</x:v>
      </x:c>
      <x:c r="D15" s="12" t="str">
        <x:v>积分链API与HTTP回归通过</x:v>
      </x:c>
      <x:c r="E15" s="12" t="str">
        <x:v>定向计算、本人确认、授权解锁、追加负调整、再次确认；每次确认保留流水和总分快照。</x:v>
      </x:c>
      <x:c r="F15" s="12" t="str">
        <x:v>routes/calculations.py；test_hardening.py；http-results.json</x:v>
      </x:c>
      <x:c r="G15" s="12" t="str">
        <x:v>正式Excel台账、全部并发边界和MySQL冻结约束尚未验收。</x:v>
      </x:c>
      <x:c r="H15" s="12" t="str">
        <x:v>否</x:v>
      </x:c>
    </x:row>
    <x:row r="16" ht="92" customHeight="1">
      <x:c r="A16" s="4" t="str">
        <x:v>D15</x:v>
      </x:c>
      <x:c r="B16" s="4" t="str">
        <x:v>P1</x:v>
      </x:c>
      <x:c r="C16" s="4" t="str">
        <x:v>3.1 / 3.2 / 3.4</x:v>
      </x:c>
      <x:c r="D16" s="4" t="str">
        <x:v>原三类设置API接回</x:v>
      </x:c>
      <x:c r="E16" s="4" t="str">
        <x:v>组织、角色、周期、学校品牌/资质/指标说明原三类配置真实保存，保留原因与审计。</x:v>
      </x:c>
      <x:c r="F16" s="4" t="str">
        <x:v>routes/admin.py</x:v>
      </x:c>
      <x:c r="G16" s="4" t="str">
        <x:v>额外业务字典/状态显示/可执行口径清单仍待补，不以说明文字代替算法。</x:v>
      </x:c>
      <x:c r="H16" s="4" t="str">
        <x:v>否</x:v>
      </x:c>
    </x:row>
    <x:row r="17" ht="92" customHeight="1">
      <x:c r="A17" s="12" t="str">
        <x:v>D16</x:v>
      </x:c>
      <x:c r="B17" s="12" t="str">
        <x:v>P0</x:v>
      </x:c>
      <x:c r="C17" s="12" t="str">
        <x:v>2.1-2.3 / 13.5</x:v>
      </x:c>
      <x:c r="D17" s="12" t="str">
        <x:v>Cookie契约真实HTTP通过</x:v>
      </x:c>
      <x:c r="E17" s="12" t="str">
        <x:v>同源Cookie+CSRF、首登改密、旧会话失效；无Bearer桥接；4独立HTTP客户端实际登录。</x:v>
      </x:c>
      <x:c r="F17" s="12" t="str">
        <x:v>routes/auth.py；core.py；http-results.json</x:v>
      </x:c>
      <x:c r="G17" s="12" t="str">
        <x:v>原生Chromium网络访问被管理员策略阻断；HTTPS/Secure Cookie实际环境待验；旧哈希格式迁移待确认。</x:v>
      </x:c>
      <x:c r="H17" s="12" t="str">
        <x:v>否</x:v>
      </x:c>
    </x:row>
    <x:row r="18" ht="92" customHeight="1">
      <x:c r="A18" s="4" t="str">
        <x:v>D17</x:v>
      </x:c>
      <x:c r="B18" s="4" t="str">
        <x:v>P0</x:v>
      </x:c>
      <x:c r="C18" s="4" t="str">
        <x:v>13.4；用户P0健康检查要求</x:v>
      </x:c>
      <x:c r="D18" s="4" t="str">
        <x:v>就绪阻断保持有效</x:v>
      </x:c>
      <x:c r="E18" s="4" t="str">
        <x:v>完整应用能启动测试环境，但缺原迁移时health503；生产启动先检查源码齐套，不自动建表或seed。</x:v>
      </x:c>
      <x:c r="F18" s="4" t="str">
        <x:v>main.py；releasecheck.py；readiness.py</x:v>
      </x:c>
      <x:c r="G18" s="4" t="str">
        <x:v>MySQL实际head为空未核验；原迁移/正式初始化仍缺。</x:v>
      </x:c>
      <x:c r="H18" s="4" t="str">
        <x:v>否</x:v>
      </x:c>
    </x:row>
    <x:row r="19" ht="92" customHeight="1">
      <x:c r="A19" s="12" t="str">
        <x:v>D18</x:v>
      </x:c>
      <x:c r="B19" s="12" t="str">
        <x:v>P0</x:v>
      </x:c>
      <x:c r="C19" s="12" t="str">
        <x:v>12.1 / 12.2；用户P0审计事务要求</x:v>
      </x:c>
      <x:c r="D19" s="12" t="str">
        <x:v>事务与故障注入回归通过</x:v>
      </x:c>
      <x:c r="E19" s="12" t="str">
        <x:v>新core.audit/workflow与业务及回执同事务；日志失败不改成功响应；关键审计失败回滚及文件清理已测。</x:v>
      </x:c>
      <x:c r="F19" s="12" t="str">
        <x:v>core.py；access_logging.py；test_api/test_hardening</x:v>
      </x:c>
      <x:c r="G19" s="12" t="str">
        <x:v>未实现的导入/导出/sync/组织考核审计不在已通过范围；MySQL事务待验。</x:v>
      </x:c>
      <x:c r="H19" s="12" t="str">
        <x:v>否</x:v>
      </x:c>
    </x:row>
    <x:row r="20" ht="92" customHeight="1">
      <x:c r="A20" s="4" t="str">
        <x:v>D19</x:v>
      </x:c>
      <x:c r="B20" s="4" t="str">
        <x:v>P0</x:v>
      </x:c>
      <x:c r="C20" s="4" t="str">
        <x:v>13.2 / 13.6；用户P0维护锁要求</x:v>
      </x:c>
      <x:c r="D20" s="4" t="str">
        <x:v>保留R1编排，worker待补</x:v>
      </x:c>
      <x:c r="E20" s="4" t="str">
        <x:v>R1升级统一维护锁及持久标记逻辑未削弱；新增真实HTTP应用读取维护控制。</x:v>
      </x:c>
      <x:c r="F20" s="4" t="str">
        <x:v>scripts/deploy_control.py；maintenance_guard.py</x:v>
      </x:c>
      <x:c r="G20" s="4" t="str">
        <x:v>实际Docker、备份恢复、worker领取/执行保护仍未演练。</x:v>
      </x:c>
      <x:c r="H20" s="4" t="str">
        <x:v>否</x:v>
      </x:c>
    </x:row>
    <x:row r="21" ht="92" customHeight="1">
      <x:c r="A21" s="12" t="str">
        <x:v>D20</x:v>
      </x:c>
      <x:c r="B21" s="12" t="str">
        <x:v>P0</x:v>
      </x:c>
      <x:c r="C21" s="12" t="str">
        <x:v>13.2 / 13.6；用户P0镜像更新要求</x:v>
      </x:c>
      <x:c r="D21" s="12" t="str">
        <x:v>保留R1编排回归</x:v>
      </x:c>
      <x:c r="E21" s="12" t="str">
        <x:v>原子环境配置与镜像核对保留；完整186回归包含R1部署故障注入。</x:v>
      </x:c>
      <x:c r="F21" s="12" t="str">
        <x:v>scripts/atomic_env.py/deploy_control.py</x:v>
      </x:c>
      <x:c r="G21" s="12" t="str">
        <x:v>真实镜像构建、HTTPS反代、受控接口出网和Docker权限未验证。</x:v>
      </x:c>
      <x:c r="H21" s="12" t="str">
        <x:v>否</x:v>
      </x:c>
    </x:row>
    <x:row r="22" ht="92" customHeight="1">
      <x:c r="A22" s="4" t="str">
        <x:v>D21</x:v>
      </x:c>
      <x:c r="B22" s="4" t="str">
        <x:v>P0</x:v>
      </x:c>
      <x:c r="C22" s="4" t="str">
        <x:v>2.3,2.5,2.7,2.8 / 8.6 / 12.5,12.6</x:v>
      </x:c>
      <x:c r="D22" s="4" t="str">
        <x:v>已实现接口安全回归通过</x:v>
      </x:c>
      <x:c r="E22" s="4" t="str">
        <x:v>4级实际授权；角色复制/上限；最后管理员保护；停用/改密/转组织撤权；附件逐次校验；同key并发只写一笔。</x:v>
      </x:c>
      <x:c r="F22" s="4" t="str">
        <x:v>core.py；permissions.py；routes/*.py；tests/r2</x:v>
      </x:c>
      <x:c r="G22" s="4" t="str">
        <x:v>不是全系统零越权认证：尚无Excel/导出/sync执行/组织考核和MySQL反向测试。</x:v>
      </x:c>
      <x:c r="H22" s="4" t="str">
        <x:v>否</x:v>
      </x:c>
    </x:row>
    <x:row r="23" ht="92" customHeight="1">
      <x:c r="A23" s="12" t="str">
        <x:v>D22</x:v>
      </x:c>
      <x:c r="B23" s="12" t="str">
        <x:v>P0</x:v>
      </x:c>
      <x:c r="C23" s="12" t="str">
        <x:v>13.5 / 13.7 / 13.8</x:v>
      </x:c>
      <x:c r="D23" s="12" t="str">
        <x:v>多层证据分开记录</x:v>
      </x:c>
      <x:c r="E23" s="12" t="str">
        <x:v>105项R1+81项R2共186项Python及12项Node通过；90真实HTTP请求/22检查通过；登录页2尺寸离线渲染。</x:v>
      </x:c>
      <x:c r="F23" s="12" t="str">
        <x:v>evidence/r2/final-*；http-native；static-login</x:v>
      </x:c>
      <x:c r="G23" s="12" t="str">
        <x:v>Chromium完整网络流程FAIL，ERR_BLOCKED_BY_ADMINISTRATOR；MySQL/Docker/100并发/学校样本未执行。</x:v>
      </x:c>
      <x:c r="H23" s="12" t="str">
        <x:v>否</x:v>
      </x:c>
    </x:row>
    <x:row r="24" ht="92" customHeight="1">
      <x:c r="A24" s="4" t="str">
        <x:v>D23</x:v>
      </x:c>
      <x:c r="B24" s="4" t="str">
        <x:v>P1</x:v>
      </x:c>
      <x:c r="C24" s="4" t="str">
        <x:v>6.5 / 10.7 / 14.6；用户Excel追加要求</x:v>
      </x:c>
      <x:c r="D24" s="4" t="str">
        <x:v>Excel执行仍缺</x:v>
      </x:c>
      <x:c r="E24" s="4" t="str">
        <x:v>保留原Excel入口和ImportJob/ImportRow模型；没有做假成功的导入/导出路由。</x:v>
      </x:c>
      <x:c r="F24" s="4" t="str">
        <x:v>models.py；frontend/app.js；api-contract-inventory.json</x:v>
      </x:c>
      <x:c r="G24" s="4" t="str">
        <x:v>模板、预览、错误行、幂等事务入库、后台导出和下载权限全部仍需实际执行器。</x:v>
      </x:c>
      <x:c r="H24" s="4" t="str">
        <x:v>否</x:v>
      </x:c>
    </x:row>
    <x:row r="25" ht="92" customHeight="1">
      <x:c r="A25" s="12" t="str">
        <x:v>D24</x:v>
      </x:c>
      <x:c r="B25" s="12" t="str">
        <x:v>P0</x:v>
      </x:c>
      <x:c r="C25" s="12" t="str">
        <x:v>1.6 / 3.6 / 4.7 / 11.7 / 13.6 / 14.5-14.7</x:v>
      </x:c>
      <x:c r="D25" s="12" t="str">
        <x:v>交付施工检查点</x:v>
      </x:c>
      <x:c r="E25" s="12" t="str">
        <x:v>新增源码/同版测试/真实HTTP证据/失败现场/差异补丁/施工记录，保留R1原文与证据。</x:v>
      </x:c>
      <x:c r="F25" s="12" t="str">
        <x:v>本R2源码包及manifest</x:v>
      </x:c>
      <x:c r="G25" s="12" t="str">
        <x:v>不等于完整源码部署交付；机房镜像、迁移、手册、可复用业务移交仍缺。</x:v>
      </x:c>
      <x:c r="H25" s="12" t="str">
        <x:v>否</x:v>
      </x:c>
    </x:row>
    <x:row r="26" ht="92" customHeight="1">
      <x:c r="A26" s="4" t="str">
        <x:v>D25</x:v>
      </x:c>
      <x:c r="B26" s="4" t="str">
        <x:v>交付</x:v>
      </x:c>
      <x:c r="C26" s="4" t="str">
        <x:v>9.7 / 10.7 / 11.5-11.6 / 14.1-14.4,14.7</x:v>
      </x:c>
      <x:c r="D26" s="4" t="str">
        <x:v>仍待外部与实际履约</x:v>
      </x:c>
      <x:c r="E26" s="4" t="str">
        <x:v>仍NOT_CONNECTED，不以合成测试样本声称正式双轨100%或学校验收。</x:v>
      </x:c>
      <x:c r="F26" s="4" t="str">
        <x:v>PDF原101条；external gates</x:v>
      </x:c>
      <x:c r="G26" s="4" t="str">
        <x:v>实际接口、学校规则、真实样本、机房性能、质保/培训均需独立完成。</x:v>
      </x:c>
      <x:c r="H26" s="4" t="str">
        <x:v>否</x:v>
      </x:c>
    </x:row>
  </x:sheetData>
  <x:pageMargins left="0.7" right="0.7" top="0.75" bottom="0.75" header="0.3" footer="0.3"/>
  <x:tableParts count="1">
    <x:tablePart xmlns:r="http://schemas.openxmlformats.org/officeDocument/2006/relationships" r:id="R35828701419d4ac6"/>
  </x:tableParts>
</x:worksheet>
</file>

<file path=xl/worksheets/sheet4.xml><?xml version="1.0" encoding="utf-8"?>
<x:worksheet xmlns:x="http://schemas.openxmlformats.org/spreadsheetml/2006/main">
  <x:sheetFormatPr defaultRowHeight="15"/>
  <x:cols>
    <x:col min="1" max="1" width="9" hidden="0" customWidth="1"/>
    <x:col min="2" max="2" width="27" hidden="0" customWidth="1"/>
    <x:col min="3" max="3" width="9" hidden="0" customWidth="1"/>
    <x:col min="4" max="4" width="58" hidden="0" customWidth="1"/>
    <x:col min="5" max="5" width="13" hidden="0" customWidth="1"/>
    <x:col min="6" max="6" width="41" hidden="0" customWidth="1"/>
    <x:col min="7" max="7" width="52" hidden="0" customWidth="1"/>
    <x:col min="8" max="8" width="36" hidden="0" customWidth="1"/>
  </x:cols>
  <x:sheetData>
    <x:row r="1" ht="32" customHeight="1">
      <x:c r="A1" s="9" t="str">
        <x:v>条款</x:v>
      </x:c>
      <x:c r="B1" s="9" t="str">
        <x:v>采购项目</x:v>
      </x:c>
      <x:c r="C1" s="9" t="str">
        <x:v>PDF页</x:v>
      </x:c>
      <x:c r="D1" s="9" t="str">
        <x:v>采购原文（保留）</x:v>
      </x:c>
      <x:c r="E1" s="9" t="str">
        <x:v>关联差异</x:v>
      </x:c>
      <x:c r="F1" s="9" t="str">
        <x:v>R2推进层级</x:v>
      </x:c>
      <x:c r="G1" s="9" t="str">
        <x:v>审计原发现（历史）</x:v>
      </x:c>
      <x:c r="H1" s="9" t="str">
        <x:v>最终验收说明</x:v>
      </x:c>
    </x:row>
    <x:row r="2" ht="116" customHeight="1">
      <x:c r="A2" s="4" t="str">
        <x:v>1.1</x:v>
      </x:c>
      <x:c r="B2" s="4" t="str">
        <x:v>平台基础与门户功能</x:v>
      </x:c>
      <x:c r="C2" s="4" t="str">
        <x:v>1</x:v>
      </x:c>
      <x:c r="D2" s="4" t="str">
        <x:v>建设PC 端非学历教育智慧平台统一门户，作为教师、教研室、二级学院和学校管理部门进入系统后的统一工作入口，统一承载个人数据、管理审核、统计分析和系统配置等业务访问。</x:v>
      </x:c>
      <x:c r="E2" s="4" t="str">
        <x:v>D01</x:v>
      </x:c>
      <x:c r="F2" s="4" t="str">
        <x:v>D01：运行核心已接回，部署仍阻断</x:v>
      </x:c>
      <x:c r="G2" s="4" t="str">
        <x:v>历史审计原文：统一PC门户与角色菜单已有；缺支撑路由源码，不能证明完整入口可运行。</x:v>
      </x:c>
      <x:c r="H2" s="4" t="str">
        <x:v>未作最终验收；详见25组纠偏推进与测试证据</x:v>
      </x:c>
    </x:row>
    <x:row r="3" ht="116" customHeight="1">
      <x:c r="A3" s="12" t="str">
        <x:v>1.2</x:v>
      </x:c>
      <x:c r="B3" s="12" t="str">
        <x:v>平台基础与门户功能</x:v>
      </x:c>
      <x:c r="C3" s="12" t="str">
        <x:v>1</x:v>
      </x:c>
      <x:c r="D3" s="12" t="str">
        <x:v>门户需提供首页、导航菜单、政策通知、数据入口、搜索筛选、待办提醒等基础功能，并按照不同用户角色和权限展示相应菜单、数据范围和业务入口。</x:v>
      </x:c>
      <x:c r="E3" s="12" t="str">
        <x:v>D01,D21</x:v>
      </x:c>
      <x:c r="F3" s="12" t="str">
        <x:v>D01：运行核心已接回，部署仍阻断；D21：已实现接口安全回归通过</x:v>
      </x:c>
      <x:c r="G3" s="12" t="str">
        <x:v>历史审计原文：导航、通知、筛选、待办前端存在；顶部搜索只搜菜单，业务页各自查询。</x:v>
      </x:c>
      <x:c r="H3" s="12" t="str">
        <x:v>未作最终验收；详见25组纠偏推进与测试证据</x:v>
      </x:c>
    </x:row>
    <x:row r="4" ht="116" customHeight="1">
      <x:c r="A4" s="4" t="str">
        <x:v>1.3</x:v>
      </x:c>
      <x:c r="B4" s="4" t="str">
        <x:v>平台基础与门户功能</x:v>
      </x:c>
      <x:c r="C4" s="4" t="str">
        <x:v>1</x:v>
      </x:c>
      <x:c r="D4" s="4" t="str">
        <x:v>首页需集中呈现与当前用户相关的核心指标、快捷入口、政策通知、待办事项和业务动态，减少用户在不同页面和系统之间反复切换。</x:v>
      </x:c>
      <x:c r="E4" s="4" t="str">
        <x:v>D01,D10</x:v>
      </x:c>
      <x:c r="F4" s="4" t="str">
        <x:v>D01：运行核心已接回，部署仍阻断；D10：工作台底层API接回</x:v>
      </x:c>
      <x:c r="G4" s="4" t="str">
        <x:v>历史审计原文：个人指标、快捷入口、通知和待办已有前端；实际数据接口缺完整实现证据。</x:v>
      </x:c>
      <x:c r="H4" s="4" t="str">
        <x:v>未作最终验收；详见25组纠偏推进与测试证据</x:v>
      </x:c>
    </x:row>
    <x:row r="5" ht="116" customHeight="1">
      <x:c r="A5" s="12" t="str">
        <x:v>1.4</x:v>
      </x:c>
      <x:c r="B5" s="12" t="str">
        <x:v>平台基础与门户功能</x:v>
      </x:c>
      <x:c r="C5" s="12" t="str">
        <x:v>1</x:v>
      </x:c>
      <x:c r="D5" s="12" t="str">
        <x:v>消息待办需覆盖审核待办、数据同步异常、教师资质到期、考核确认等事项，并支持由待办事项直接跳转至对应业务详情进行处理。</x:v>
      </x:c>
      <x:c r="E5" s="12" t="str">
        <x:v>D01,D22</x:v>
      </x:c>
      <x:c r="F5" s="12" t="str">
        <x:v>D01：运行核心已接回，部署仍阻断；D22：多层证据分开记录</x:v>
      </x:c>
      <x:c r="G5" s="12" t="str">
        <x:v>历史审计原文：待办能按对象ID调用详情函数；未取得待办生成服务，不能确认四类事件均覆盖。</x:v>
      </x:c>
      <x:c r="H5" s="12" t="str">
        <x:v>未作最终验收；详见25组纠偏推进与测试证据</x:v>
      </x:c>
    </x:row>
    <x:row r="6" ht="116" customHeight="1">
      <x:c r="A6" s="4" t="str">
        <x:v>1.5</x:v>
      </x:c>
      <x:c r="B6" s="4" t="str">
        <x:v>平台基础与门户功能</x:v>
      </x:c>
      <x:c r="C6" s="4" t="str">
        <x:v>1</x:v>
      </x:c>
      <x:c r="D6" s="4" t="str">
        <x:v>平台门户应保持统一的页面布局、导航方式和交互规范，页面展示的数据需与业务明细、统计结果及权限范围保持一致。</x:v>
      </x:c>
      <x:c r="E6" s="4" t="str">
        <x:v>D05,D06</x:v>
      </x:c>
      <x:c r="F6" s="4" t="str">
        <x:v>D05：API与真实HTTP回归通过；D06：保留R1修复，浏览器待验</x:v>
      </x:c>
      <x:c r="G6" s="4" t="str">
        <x:v>历史审计原文：统计考核范围与业务筛选不同；下钻丢失项目、日期筛选。</x:v>
      </x:c>
      <x:c r="H6" s="4" t="str">
        <x:v>未作最终验收；详见25组纠偏推进与测试证据</x:v>
      </x:c>
    </x:row>
    <x:row r="7" ht="116" customHeight="1">
      <x:c r="A7" s="12" t="str">
        <x:v>1.6</x:v>
      </x:c>
      <x:c r="B7" s="12" t="str">
        <x:v>平台基础与门户功能</x:v>
      </x:c>
      <x:c r="C7" s="12" t="str">
        <x:v>1</x:v>
      </x:c>
      <x:c r="D7" s="12" t="str">
        <x:v>项目交付时需完成门户页面、菜单导航、政策通知、搜索筛选、消息待办等功能配置，并提供相应的用户操作说明。</x:v>
      </x:c>
      <x:c r="E7" s="12" t="str">
        <x:v>D22,D24</x:v>
      </x:c>
      <x:c r="F7" s="12" t="str">
        <x:v>D22：多层证据分开记录；D24：交付施工检查点</x:v>
      </x:c>
      <x:c r="G7" s="12" t="str">
        <x:v>历史审计原文：有简短操作指引和历史桥接记录；无同版完整门户验收及用户手册。</x:v>
      </x:c>
      <x:c r="H7" s="12" t="str">
        <x:v>未作最终验收；详见25组纠偏推进与测试证据</x:v>
      </x:c>
    </x:row>
    <x:row r="8" ht="116" customHeight="1">
      <x:c r="A8" s="4" t="str">
        <x:v>2.1</x:v>
      </x:c>
      <x:c r="B8" s="4" t="str">
        <x:v>统一认证与组织权限管理</x:v>
      </x:c>
      <x:c r="C8" s="4" t="str">
        <x:v>1</x:v>
      </x:c>
      <x:c r="D8" s="4" t="str">
        <x:v>完成与学校统一认证系统的接口对接，实现单点登录、登录状态校验、用户身份获取、异常提示和退出登录等认证能力。</x:v>
      </x:c>
      <x:c r="E8" s="4" t="str">
        <x:v>D03</x:v>
      </x:c>
      <x:c r="F8" s="4" t="str">
        <x:v>D03：只读状态接回</x:v>
      </x:c>
      <x:c r="G8" s="4" t="str">
        <x:v>历史审计原文：当前为本地账号入口；SSO正式适配源码与真实联调均未取得。</x:v>
      </x:c>
      <x:c r="H8" s="4" t="str">
        <x:v>未作最终验收；详见25组纠偏推进与测试证据</x:v>
      </x:c>
    </x:row>
    <x:row r="9" ht="116" customHeight="1">
      <x:c r="A9" s="12" t="str">
        <x:v>2.2</x:v>
      </x:c>
      <x:c r="B9" s="12" t="str">
        <x:v>统一认证与组织权限管理</x:v>
      </x:c>
      <x:c r="C9" s="12" t="str">
        <x:v>1</x:v>
      </x:c>
      <x:c r="D9" s="12" t="str">
        <x:v>建立教师、教研室、二级学院、学校管理部门四级角色模型，并结合用户身份和组织归属加载相应的系统菜单、操作权限和数据范围。</x:v>
      </x:c>
      <x:c r="E9" s="12" t="str">
        <x:v>D01,D21</x:v>
      </x:c>
      <x:c r="F9" s="12" t="str">
        <x:v>D01：运行核心已接回，部署仍阻断；D21：已实现接口安全回归通过</x:v>
      </x:c>
      <x:c r="G9" s="12" t="str">
        <x:v>历史审计原文：有组织树、角色kind、权限与用户关联；服务端身份/权限路由未取回。</x:v>
      </x:c>
      <x:c r="H9" s="12" t="str">
        <x:v>未作最终验收；详见25组纠偏推进与测试证据</x:v>
      </x:c>
    </x:row>
    <x:row r="10" ht="116" customHeight="1">
      <x:c r="A10" s="4" t="str">
        <x:v>2.3</x:v>
      </x:c>
      <x:c r="B10" s="4" t="str">
        <x:v>统一认证与组织权限管理</x:v>
      </x:c>
      <x:c r="C10" s="4" t="str">
        <x:v>1</x:v>
      </x:c>
      <x:c r="D10" s="4" t="str">
        <x:v>权限控制需覆盖菜单权限、操作权限、数据权限和导出权限；教师仅访问本人数据，教研室访问本教研室数据，二级学院访问本学院数据，学校管理部门按授权访问全校数据并进行统筹配置。</x:v>
      </x:c>
      <x:c r="E10" s="4" t="str">
        <x:v>D21</x:v>
      </x:c>
      <x:c r="F10" s="4" t="str">
        <x:v>D21：已实现接口安全回归通过</x:v>
      </x:c>
      <x:c r="G10" s="4" t="str">
        <x:v>历史审计原文：查询有actor.scope，UI有导出权限；actor实现及下载权限复核代码缺失。</x:v>
      </x:c>
      <x:c r="H10" s="4" t="str">
        <x:v>未作最终验收；详见25组纠偏推进与测试证据</x:v>
      </x:c>
    </x:row>
    <x:row r="11" ht="116" customHeight="1">
      <x:c r="A11" s="12" t="str">
        <x:v>2.4</x:v>
      </x:c>
      <x:c r="B11" s="12" t="str">
        <x:v>统一认证与组织权限管理</x:v>
      </x:c>
      <x:c r="C11" s="12" t="str">
        <x:v>1</x:v>
      </x:c>
      <x:c r="D11" s="12" t="str">
        <x:v>统一认证获取的账号、姓名、组织、角色或身份标识等信息需与平台用户和组织信息建立对应关系，保证登录身份、组织范围和业务数据关联一致。</x:v>
      </x:c>
      <x:c r="E11" s="12" t="str">
        <x:v>D03,D21</x:v>
      </x:c>
      <x:c r="F11" s="12" t="str">
        <x:v>D03：只读状态接回；D21：已实现接口安全回归通过</x:v>
      </x:c>
      <x:c r="G11" s="12" t="str">
        <x:v>历史审计原文：用户/组织/角色结构存在；未见SSO外部身份到本地账号的权威映射实现。</x:v>
      </x:c>
      <x:c r="H11" s="12" t="str">
        <x:v>未作最终验收；详见25组纠偏推进与测试证据</x:v>
      </x:c>
    </x:row>
    <x:row r="12" ht="116" customHeight="1">
      <x:c r="A12" s="4" t="str">
        <x:v>2.5</x:v>
      </x:c>
      <x:c r="B12" s="4" t="str">
        <x:v>统一认证与组织权限管理</x:v>
      </x:c>
      <x:c r="C12" s="4" t="str">
        <x:v>1</x:v>
      </x:c>
      <x:c r="D12" s="4" t="str">
        <x:v>对异常登录、无权限访问、越权操作等情况需进行拦截或提示并形成安全审计记录；权限越权测试应做到零通过。</x:v>
      </x:c>
      <x:c r="E12" s="4" t="str">
        <x:v>D21,D22</x:v>
      </x:c>
      <x:c r="F12" s="4" t="str">
        <x:v>D21：已实现接口安全回归通过；D22：多层证据分开记录</x:v>
      </x:c>
      <x:c r="G12" s="4" t="str">
        <x:v>历史审计原文：有节流模型和访问审计；缺认证与授权实现、反向测试证据，无法裁决零通过。</x:v>
      </x:c>
      <x:c r="H12" s="4" t="str">
        <x:v>未作最终验收；详见25组纠偏推进与测试证据</x:v>
      </x:c>
    </x:row>
    <x:row r="13" ht="116" customHeight="1">
      <x:c r="A13" s="12" t="str">
        <x:v>2.6</x:v>
      </x:c>
      <x:c r="B13" s="12" t="str">
        <x:v>统一认证与组织权限管理</x:v>
      </x:c>
      <x:c r="C13" s="12" t="str">
        <x:v>2</x:v>
      </x:c>
      <x:c r="D13" s="12" t="str">
        <x:v>项目实施过程中需完成统一认证接口参数、身份字段、角色映射和权限范围确认，并形成接口配置及权限配置说明。</x:v>
      </x:c>
      <x:c r="E13" s="12" t="str">
        <x:v>D03</x:v>
      </x:c>
      <x:c r="F13" s="12" t="str">
        <x:v>D03：只读状态接回</x:v>
      </x:c>
      <x:c r="G13" s="12" t="str">
        <x:v>历史审计原文：接口配置入口只是准备；学校身份字段、协议、授权边界确认材料未取得。</x:v>
      </x:c>
      <x:c r="H13" s="12" t="str">
        <x:v>未作最终验收；详见25组纠偏推进与测试证据</x:v>
      </x:c>
    </x:row>
    <x:row r="14" ht="116" customHeight="1">
      <x:c r="A14" s="4" t="str">
        <x:v>2.7</x:v>
      </x:c>
      <x:c r="B14" s="4" t="str">
        <x:v>统一认证与组织权限管理</x:v>
      </x:c>
      <x:c r="C14" s="4" t="str">
        <x:v>2</x:v>
      </x:c>
      <x:c r="D14" s="4" t="str">
        <x:v>权限配置应支持按角色进行批量授权，并支持复制已有角色的菜单权限、操作权限和数据权限配置，提高权限初始化和调整效率。</x:v>
      </x:c>
      <x:c r="E14" s="4" t="str">
        <x:v>D21</x:v>
      </x:c>
      <x:c r="F14" s="4" t="str">
        <x:v>D21：已实现接口安全回归通过</x:v>
      </x:c>
      <x:c r="G14" s="4" t="str">
        <x:v>历史审计原文：角色批量授权、复制入口确实存在；后端权限校验和复制结果未知。</x:v>
      </x:c>
      <x:c r="H14" s="4" t="str">
        <x:v>未作最终验收；详见25组纠偏推进与测试证据</x:v>
      </x:c>
    </x:row>
    <x:row r="15" ht="116" customHeight="1">
      <x:c r="A15" s="12" t="str">
        <x:v>2.8</x:v>
      </x:c>
      <x:c r="B15" s="12" t="str">
        <x:v>统一认证与组织权限管理</x:v>
      </x:c>
      <x:c r="C15" s="12" t="str">
        <x:v>2</x:v>
      </x:c>
      <x:c r="D15" s="12" t="str">
        <x:v>当用户所属组织或角色发生调整后，相应的数据访问范围应能够随组织或角色关系同步更新，无需逐用户重复配置数据权限。</x:v>
      </x:c>
      <x:c r="E15" s="12" t="str">
        <x:v>D21</x:v>
      </x:c>
      <x:c r="F15" s="12" t="str">
        <x:v>D21：已实现接口安全回归通过</x:v>
      </x:c>
      <x:c r="G15" s="12" t="str">
        <x:v>历史审计原文：模型及筛选读取当前组织关系；无法核实会话缓存/导出旧文件是否及时失效。</x:v>
      </x:c>
      <x:c r="H15" s="12" t="str">
        <x:v>未作最终验收；详见25组纠偏推进与测试证据</x:v>
      </x:c>
    </x:row>
    <x:row r="16" ht="116" customHeight="1">
      <x:c r="A16" s="4" t="str">
        <x:v>3.1</x:v>
      </x:c>
      <x:c r="B16" s="4" t="str">
        <x:v>基础配置、字典管理</x:v>
      </x:c>
      <x:c r="C16" s="4" t="str">
        <x:v>2</x:v>
      </x:c>
      <x:c r="D16" s="4" t="str">
        <x:v>提供平台运行所需的基础配置和字典管理能力，用于维护系统参数、业务字典、状态值、考核周期及其他可配置基础数据。</x:v>
      </x:c>
      <x:c r="E16" s="4" t="str">
        <x:v>D15</x:v>
      </x:c>
      <x:c r="F16" s="4" t="str">
        <x:v>D15：原三类设置API接回</x:v>
      </x:c>
      <x:c r="G16" s="4" t="str">
        <x:v>历史审计原文：现有表单只支持branding、qualification、metrics；状态标签为前端固定表。</x:v>
      </x:c>
      <x:c r="H16" s="4" t="str">
        <x:v>未作最终验收；详见25组纠偏推进与测试证据</x:v>
      </x:c>
    </x:row>
    <x:row r="17" ht="116" customHeight="1">
      <x:c r="A17" s="12" t="str">
        <x:v>3.2</x:v>
      </x:c>
      <x:c r="B17" s="12" t="str">
        <x:v>基础配置、字典管理</x:v>
      </x:c>
      <x:c r="C17" s="12" t="str">
        <x:v>2</x:v>
      </x:c>
      <x:c r="D17" s="12" t="str">
        <x:v>基础配置应采用配置化方式管理，满足平台上线初始化以及后续业务规则、展示口径和运行参数合理调整的需要。</x:v>
      </x:c>
      <x:c r="E17" s="12" t="str">
        <x:v>D08,D09</x:v>
      </x:c>
      <x:c r="F17" s="12" t="str">
        <x:v>D08：教师规则API回归通过；D09：待学校口径确认</x:v>
      </x:c>
      <x:c r="G17" s="12" t="str">
        <x:v>历史审计原文：有规则及参数配置，但评分类型和取数口径固定；不是任意学校规则引擎。</x:v>
      </x:c>
      <x:c r="H17" s="12" t="str">
        <x:v>未作最终验收；详见25组纠偏推进与测试证据</x:v>
      </x:c>
    </x:row>
    <x:row r="18" ht="116" customHeight="1">
      <x:c r="A18" s="4" t="str">
        <x:v>3.3</x:v>
      </x:c>
      <x:c r="B18" s="4" t="str">
        <x:v>基础配置、字典管理</x:v>
      </x:c>
      <x:c r="C18" s="4" t="str">
        <x:v>2</x:v>
      </x:c>
      <x:c r="D18" s="4" t="str">
        <x:v>支持对组织机构、角色权限、字典项、考核周期、系统参数、管理员账号和接口参数等上线基础信息进行初始化配置。</x:v>
      </x:c>
      <x:c r="E18" s="4" t="str">
        <x:v>D01,D19</x:v>
      </x:c>
      <x:c r="F18" s="4" t="str">
        <x:v>D01：运行核心已接回，部署仍阻断；D19：保留R1编排，worker待补</x:v>
      </x:c>
      <x:c r="G18" s="4" t="str">
        <x:v>历史审计原文：初始化页面/脚本调用已见；cli、grants、迁移等实际文件未取回。</x:v>
      </x:c>
      <x:c r="H18" s="4" t="str">
        <x:v>未作最终验收；详见25组纠偏推进与测试证据</x:v>
      </x:c>
    </x:row>
    <x:row r="19" ht="116" customHeight="1">
      <x:c r="A19" s="12" t="str">
        <x:v>3.4</x:v>
      </x:c>
      <x:c r="B19" s="12" t="str">
        <x:v>基础配置、字典管理</x:v>
      </x:c>
      <x:c r="C19" s="12" t="str">
        <x:v>2</x:v>
      </x:c>
      <x:c r="D19" s="12" t="str">
        <x:v>基础字典和参数调整后应能够在相关业务页面、统计口径和接口处理中统一生效，避免同一业务含义在不同模块出现不一致。</x:v>
      </x:c>
      <x:c r="E19" s="12" t="str">
        <x:v>D05,D08,D15</x:v>
      </x:c>
      <x:c r="F19" s="12" t="str">
        <x:v>D05：API与真实HTTP回归通过；D08：教师规则API回归通过；D15：原三类设置API接回</x:v>
      </x:c>
      <x:c r="G19" s="12" t="str">
        <x:v>历史审计原文：统计配置仅修改文字说明，不改变聚合算法；日期/项目筛选也有不一致。</x:v>
      </x:c>
      <x:c r="H19" s="12" t="str">
        <x:v>未作最终验收；详见25组纠偏推进与测试证据</x:v>
      </x:c>
    </x:row>
    <x:row r="20" ht="116" customHeight="1">
      <x:c r="A20" s="4" t="str">
        <x:v>3.5</x:v>
      </x:c>
      <x:c r="B20" s="4" t="str">
        <x:v>基础配置、字典管理</x:v>
      </x:c>
      <x:c r="C20" s="4" t="str">
        <x:v>2</x:v>
      </x:c>
      <x:c r="D20" s="4" t="str">
        <x:v>对涉及考核、权限、接口等关键配置的新增、修改和调整需保留操作人、操作时间、调整前值、调整后值及调整原因等记录。</x:v>
      </x:c>
      <x:c r="E20" s="4" t="str">
        <x:v>D18</x:v>
      </x:c>
      <x:c r="F20" s="4" t="str">
        <x:v>D18：事务与故障注入回归通过</x:v>
      </x:c>
      <x:c r="G20" s="4" t="str">
        <x:v>历史审计原文：原因/依据字段与审计结构具备；配置路由是否与业务同事务写入未验证。</x:v>
      </x:c>
      <x:c r="H20" s="4" t="str">
        <x:v>未作最终验收；详见25组纠偏推进与测试证据</x:v>
      </x:c>
    </x:row>
    <x:row r="21" ht="116" customHeight="1">
      <x:c r="A21" s="12" t="str">
        <x:v>3.6</x:v>
      </x:c>
      <x:c r="B21" s="12" t="str">
        <x:v>基础配置、字典管理</x:v>
      </x:c>
      <x:c r="C21" s="12" t="str">
        <x:v>2</x:v>
      </x:c>
      <x:c r="D21" s="12" t="str">
        <x:v>项目交付时需形成平台基础参数、字典项和初始化配置清单。</x:v>
      </x:c>
      <x:c r="E21" s="12" t="str">
        <x:v>D24</x:v>
      </x:c>
      <x:c r="F21" s="12" t="str">
        <x:v>D24：交付施工检查点</x:v>
      </x:c>
      <x:c r="G21" s="12" t="str">
        <x:v>历史审计原文：未取得正式初始化配置清单；不能以几个配置卡片代替交付清单。</x:v>
      </x:c>
      <x:c r="H21" s="12" t="str">
        <x:v>未作最终验收；详见25组纠偏推进与测试证据</x:v>
      </x:c>
    </x:row>
    <x:row r="22" ht="116" customHeight="1">
      <x:c r="A22" s="4" t="str">
        <x:v>4.1</x:v>
      </x:c>
      <x:c r="B22" s="4" t="str">
        <x:v>学校数据中台对接</x:v>
      </x:c>
      <x:c r="C22" s="4" t="str">
        <x:v>2</x:v>
      </x:c>
      <x:c r="D22" s="4" t="str">
        <x:v>对接学校数据中台，接入教师人事信息、培训收入数据、课程人次数据、培训项目基础信息、课程基础信息等平台建设所需数据。</x:v>
      </x:c>
      <x:c r="E22" s="4" t="str">
        <x:v>D03,D04</x:v>
      </x:c>
      <x:c r="F22" s="4" t="str">
        <x:v>D03：只读状态接回；D04：未实施</x:v>
      </x:c>
      <x:c r="G22" s="4" t="str">
        <x:v>历史审计原文：以单教师培训流水为主，尚无可核验的教师人事/项目课程主数据接入实现。</x:v>
      </x:c>
      <x:c r="H22" s="4" t="str">
        <x:v>未作最终验收；详见25组纠偏推进与测试证据</x:v>
      </x:c>
    </x:row>
    <x:row r="23" ht="116" customHeight="1">
      <x:c r="A23" s="12" t="str">
        <x:v>4.2</x:v>
      </x:c>
      <x:c r="B23" s="12" t="str">
        <x:v>学校数据中台对接</x:v>
      </x:c>
      <x:c r="C23" s="12" t="str">
        <x:v>2</x:v>
      </x:c>
      <x:c r="D23" s="12" t="str">
        <x:v>接口开发前需由采购人、供应商及相关系统责任方共同确认接口清单、字段字典、数据提供方式、同步频率、历史数据范围及接口责任边界，并形成书面确认清单。</x:v>
      </x:c>
      <x:c r="E23" s="12" t="str">
        <x:v>D03</x:v>
      </x:c>
      <x:c r="F23" s="12" t="str">
        <x:v>D03：只读状态接回</x:v>
      </x:c>
      <x:c r="G23" s="12" t="str">
        <x:v>历史审计原文：接口责任单位可填写，但三方签认的字段/模式/频率/历史范围材料未取得。</x:v>
      </x:c>
      <x:c r="H23" s="12" t="str">
        <x:v>未作最终验收；详见25组纠偏推进与测试证据</x:v>
      </x:c>
    </x:row>
    <x:row r="24" ht="116" customHeight="1">
      <x:c r="A24" s="4" t="str">
        <x:v>4.3</x:v>
      </x:c>
      <x:c r="B24" s="4" t="str">
        <x:v>学校数据中台对接</x:v>
      </x:c>
      <x:c r="C24" s="4" t="str">
        <x:v>2</x:v>
      </x:c>
      <x:c r="D24" s="4" t="str">
        <x:v>对接数据需完成字段映射、数据清洗、规则校验、敏感数据脱敏和入库处理，形成可供教师工作台、分级管理、资质、积分、考核和统计分析使用的数据底座。</x:v>
      </x:c>
      <x:c r="E24" s="4" t="str">
        <x:v>D03,D04</x:v>
      </x:c>
      <x:c r="F24" s="4" t="str">
        <x:v>D03：只读状态接回；D04：未实施</x:v>
      </x:c>
      <x:c r="G24" s="4" t="str">
        <x:v>历史审计原文：前端明确本地字段校验不入业务库；清洗、脱敏、校验到正式落库链未取回。</x:v>
      </x:c>
      <x:c r="H24" s="4" t="str">
        <x:v>未作最终验收；详见25组纠偏推进与测试证据</x:v>
      </x:c>
    </x:row>
    <x:row r="25" ht="116" customHeight="1">
      <x:c r="A25" s="12" t="str">
        <x:v>4.4</x:v>
      </x:c>
      <x:c r="B25" s="12" t="str">
        <x:v>学校数据中台对接</x:v>
      </x:c>
      <x:c r="C25" s="12" t="str">
        <x:v>3</x:v>
      </x:c>
      <x:c r="D25" s="12" t="str">
        <x:v>数据接入应支持全量初始化、增量同步、定时同步和人工触发等模式；同步失败时应支持自动重试、异常记录、人工补采及必要的数据恢复/回滚处理。</x:v>
      </x:c>
      <x:c r="E25" s="12" t="str">
        <x:v>D03</x:v>
      </x:c>
      <x:c r="F25" s="12" t="str">
        <x:v>D03：只读状态接回</x:v>
      </x:c>
      <x:c r="G25" s="12" t="str">
        <x:v>历史审计原文：有任务/次数/租约/频率字段，不能证明全量、增量、定时、人工、补采、回滚已实现。</x:v>
      </x:c>
      <x:c r="H25" s="12" t="str">
        <x:v>未作最终验收；详见25组纠偏推进与测试证据</x:v>
      </x:c>
    </x:row>
    <x:row r="26" ht="116" customHeight="1">
      <x:c r="A26" s="4" t="str">
        <x:v>4.5</x:v>
      </x:c>
      <x:c r="B26" s="4" t="str">
        <x:v>学校数据中台对接</x:v>
      </x:c>
      <x:c r="C26" s="4" t="str">
        <x:v>3</x:v>
      </x:c>
      <x:c r="D26" s="4" t="str">
        <x:v>数据接入过程需记录采集批次、处理状态、成功数量、失败数量、数据质量问题和异常处理状态；对字段缺失、格式异常、重复数据、组织归属异常等问题需具备识别、定位和处理能力。</x:v>
      </x:c>
      <x:c r="E26" s="4" t="str">
        <x:v>D03,D23</x:v>
      </x:c>
      <x:c r="F26" s="4" t="str">
        <x:v>D03：只读状态接回；D23：Excel执行仍缺</x:v>
      </x:c>
      <x:c r="G26" s="4" t="str">
        <x:v>历史审计原文：导入行/任务结果可作基础；缺按同步批次与逐条错误质量处理的实现证据。</x:v>
      </x:c>
      <x:c r="H26" s="4" t="str">
        <x:v>未作最终验收；详见25组纠偏推进与测试证据</x:v>
      </x:c>
    </x:row>
    <x:row r="27" ht="116" customHeight="1">
      <x:c r="A27" s="12" t="str">
        <x:v>4.6</x:v>
      </x:c>
      <x:c r="B27" s="12" t="str">
        <x:v>学校数据中台对接</x:v>
      </x:c>
      <x:c r="C27" s="12" t="str">
        <x:v>3</x:v>
      </x:c>
      <x:c r="D27" s="12" t="str">
        <x:v>接口需明确地址、请求方式、鉴权方式、参数结构、字段映射、返回结果、异常编码和重试策略；在正式开发前应选取脱敏真实数据完成连通性、字段映射和数据处理验证。</x:v>
      </x:c>
      <x:c r="E27" s="12" t="str">
        <x:v>D03</x:v>
      </x:c>
      <x:c r="F27" s="12" t="str">
        <x:v>D03：只读状态接回</x:v>
      </x:c>
      <x:c r="G27" s="12" t="str">
        <x:v>历史审计原文：本地样本映射不等于脱敏真实数据连通性和处理验证。</x:v>
      </x:c>
      <x:c r="H27" s="12" t="str">
        <x:v>未作最终验收；详见25组纠偏推进与测试证据</x:v>
      </x:c>
    </x:row>
    <x:row r="28" ht="116" customHeight="1">
      <x:c r="A28" s="4" t="str">
        <x:v>4.7</x:v>
      </x:c>
      <x:c r="B28" s="4" t="str">
        <x:v>学校数据中台对接</x:v>
      </x:c>
      <x:c r="C28" s="4" t="str">
        <x:v>3</x:v>
      </x:c>
      <x:c r="D28" s="4" t="str">
        <x:v>项目实施完成后需形成数据中台接口清单、字段映射关系、数据字典、数据处理说明、数据质量责任说明和联调记录等成果。</x:v>
      </x:c>
      <x:c r="E28" s="4" t="str">
        <x:v>D03,D24</x:v>
      </x:c>
      <x:c r="F28" s="4" t="str">
        <x:v>D03：只读状态接回；D24：交付施工检查点</x:v>
      </x:c>
      <x:c r="G28" s="4" t="str">
        <x:v>历史审计原文：未取得接口清单、数据字典、处理责任和联调记录等交付材料。</x:v>
      </x:c>
      <x:c r="H28" s="4" t="str">
        <x:v>未作最终验收；详见25组纠偏推进与测试证据</x:v>
      </x:c>
    </x:row>
    <x:row r="29" ht="116" customHeight="1">
      <x:c r="A29" s="12" t="str">
        <x:v>4.8</x:v>
      </x:c>
      <x:c r="B29" s="12" t="str">
        <x:v>学校数据中台对接</x:v>
      </x:c>
      <x:c r="C29" s="12" t="str">
        <x:v>3</x:v>
      </x:c>
      <x:c r="D29" s="12" t="str">
        <x:v>支持接口字段映射关系配置，可维护源字段、目标字段、转换规则、默认值等映射内容，并可查询当前生效的字段映射配置。</x:v>
      </x:c>
      <x:c r="E29" s="12" t="str">
        <x:v>D03</x:v>
      </x:c>
      <x:c r="F29" s="12" t="str">
        <x:v>D03：只读状态接回</x:v>
      </x:c>
      <x:c r="G29" s="12" t="str">
        <x:v>历史审计原文：有源/目标/转换/默认值JSON映射与本地校验入口；缺后端映射执行代码。</x:v>
      </x:c>
      <x:c r="H29" s="12" t="str">
        <x:v>未作最终验收；详见25组纠偏推进与测试证据</x:v>
      </x:c>
    </x:row>
    <x:row r="30" ht="116" customHeight="1">
      <x:c r="A30" s="4" t="str">
        <x:v>4.9</x:v>
      </x:c>
      <x:c r="B30" s="4" t="str">
        <x:v>学校数据中台对接</x:v>
      </x:c>
      <x:c r="C30" s="4" t="str">
        <x:v>3</x:v>
      </x:c>
      <x:c r="D30" s="4" t="str">
        <x:v>支持按接口或数据类型查询最近一次同步时间、同步状态、成功数量、失败数量及失败原因，便于快速核查数据同步情况。</x:v>
      </x:c>
      <x:c r="E30" s="4" t="str">
        <x:v>D03</x:v>
      </x:c>
      <x:c r="F30" s="4" t="str">
        <x:v>D03：只读状态接回</x:v>
      </x:c>
      <x:c r="G30" s="4" t="str">
        <x:v>历史审计原文：驾驶舱状态写死NOT_CONNECTED；同步页显示任务但没有完整每接口/类型最新统计证据。</x:v>
      </x:c>
      <x:c r="H30" s="4" t="str">
        <x:v>未作最终验收；详见25组纠偏推进与测试证据</x:v>
      </x:c>
    </x:row>
    <x:row r="31" ht="116" customHeight="1">
      <x:c r="A31" s="12" t="str">
        <x:v>5.1</x:v>
      </x:c>
      <x:c r="B31" s="12" t="str">
        <x:v>教师工作台与个人数据看板</x:v>
      </x:c>
      <x:c r="C31" s="12" t="str">
        <x:v>3</x:v>
      </x:c>
      <x:c r="D31" s="12" t="str">
        <x:v>建设面向普通教师的个人工作台和个人数据看板，教师登录后仅展示本人权限范围内的非学历教育相关数据和待办事项。</x:v>
      </x:c>
      <x:c r="E31" s="12" t="str">
        <x:v>D21</x:v>
      </x:c>
      <x:c r="F31" s="12" t="str">
        <x:v>D21：已实现接口安全回归通过</x:v>
      </x:c>
      <x:c r="G31" s="12" t="str">
        <x:v>历史审计原文：个人工作台和actor.scope存在；缺可完整运行的本人授权链证据。</x:v>
      </x:c>
      <x:c r="H31" s="12" t="str">
        <x:v>未作最终验收；详见25组纠偏推进与测试证据</x:v>
      </x:c>
    </x:row>
    <x:row r="32" ht="116" customHeight="1">
      <x:c r="A32" s="4" t="str">
        <x:v>5.2</x:v>
      </x:c>
      <x:c r="B32" s="4" t="str">
        <x:v>教师工作台与个人数据看板</x:v>
      </x:c>
      <x:c r="C32" s="4" t="str">
        <x:v>3</x:v>
      </x:c>
      <x:c r="D32" s="4" t="str">
        <x:v>个人工作台需集中展示个人培训收入、课程人次、培训参与记录、授课记录、资质状态、积分明细、最近考核结果等信息。</x:v>
      </x:c>
      <x:c r="E32" s="4" t="str">
        <x:v>D10,D11</x:v>
      </x:c>
      <x:c r="F32" s="4" t="str">
        <x:v>D10：工作台底层API接回；D11：未更改业务假设</x:v>
      </x:c>
      <x:c r="G32" s="4" t="str">
        <x:v>历史审计原文：收入/人次/资质/积分/考核入口已有；培训参与与授课未分清，最近/当前周期语义待核。</x:v>
      </x:c>
      <x:c r="H32" s="4" t="str">
        <x:v>未作最终验收；详见25组纠偏推进与测试证据</x:v>
      </x:c>
    </x:row>
    <x:row r="33" ht="116" customHeight="1">
      <x:c r="A33" s="12" t="str">
        <x:v>5.3</x:v>
      </x:c>
      <x:c r="B33" s="12" t="str">
        <x:v>教师工作台与个人数据看板</x:v>
      </x:c>
      <x:c r="C33" s="12" t="str">
        <x:v>3</x:v>
      </x:c>
      <x:c r="D33" s="12" t="str">
        <x:v>支持按照时间、项目、课程等条件对个人数据进行查询和筛选，并能够从汇总指标查看对应业务明细。</x:v>
      </x:c>
      <x:c r="E33" s="12" t="str">
        <x:v>D06,D10</x:v>
      </x:c>
      <x:c r="F33" s="12" t="str">
        <x:v>D06：保留R1修复，浏览器待验；D10：工作台底层API接回</x:v>
      </x:c>
      <x:c r="G33" s="12" t="str">
        <x:v>历史审计原文：台账有条件筛选，但个人首页没有同等筛选控件，指标下钻也丢筛选。</x:v>
      </x:c>
      <x:c r="H33" s="12" t="str">
        <x:v>未作最终验收；详见25组纠偏推进与测试证据</x:v>
      </x:c>
    </x:row>
    <x:row r="34" ht="116" customHeight="1">
      <x:c r="A34" s="4" t="str">
        <x:v>5.4</x:v>
      </x:c>
      <x:c r="B34" s="4" t="str">
        <x:v>教师工作台与个人数据看板</x:v>
      </x:c>
      <x:c r="C34" s="4" t="str">
        <x:v>3</x:v>
      </x:c>
      <x:c r="D34" s="4" t="str">
        <x:v>对资质材料补充、考核确认、异常数据核对等需要教师处理的事项，应在工作台或待办区域进行提示并支持跳转处理。</x:v>
      </x:c>
      <x:c r="E34" s="4" t="str">
        <x:v>D22</x:v>
      </x:c>
      <x:c r="F34" s="4" t="str">
        <x:v>D22：多层证据分开记录</x:v>
      </x:c>
      <x:c r="G34" s="4" t="str">
        <x:v>历史审计原文：详情级待办跳转已有；资质补充和异常核对的生成/关闭机制未验证。</x:v>
      </x:c>
      <x:c r="H34" s="4" t="str">
        <x:v>未作最终验收；详见25组纠偏推进与测试证据</x:v>
      </x:c>
    </x:row>
    <x:row r="35" ht="116" customHeight="1">
      <x:c r="A35" s="12" t="str">
        <x:v>5.5</x:v>
      </x:c>
      <x:c r="B35" s="12" t="str">
        <x:v>教师工作台与个人数据看板</x:v>
      </x:c>
      <x:c r="C35" s="12" t="str">
        <x:v>3</x:v>
      </x:c>
      <x:c r="D35" s="12" t="str">
        <x:v>教师个人数据展示需遵循统一数据口径和权限控制要求，涉及敏感信息和附件材料时应按授权范围展示。</x:v>
      </x:c>
      <x:c r="E35" s="12" t="str">
        <x:v>D21</x:v>
      </x:c>
      <x:c r="F35" s="12" t="str">
        <x:v>D21：已实现接口安全回归通过</x:v>
      </x:c>
      <x:c r="G35" s="12" t="str">
        <x:v>历史审计原文：附件绑定字段与下载入口存在，但脱敏和逐次下载权限实现不在已取文件中。</x:v>
      </x:c>
      <x:c r="H35" s="12" t="str">
        <x:v>未作最终验收；详见25组纠偏推进与测试证据</x:v>
      </x:c>
    </x:row>
    <x:row r="36" ht="116" customHeight="1">
      <x:c r="A36" s="4" t="str">
        <x:v>5.6</x:v>
      </x:c>
      <x:c r="B36" s="4" t="str">
        <x:v>教师工作台与个人数据看板</x:v>
      </x:c>
      <x:c r="C36" s="4" t="str">
        <x:v>3</x:v>
      </x:c>
      <x:c r="D36" s="4" t="str">
        <x:v>项目交付时需完成教师个人数据看板、业务明细、待办跳转及相关查询筛选功能。</x:v>
      </x:c>
      <x:c r="E36" s="4" t="str">
        <x:v>D06,D10,D22</x:v>
      </x:c>
      <x:c r="F36" s="4" t="str">
        <x:v>D06：保留R1修复，浏览器待验；D10：工作台底层API接回；D22：多层证据分开记录</x:v>
      </x:c>
      <x:c r="G36" s="4" t="str">
        <x:v>历史审计原文：已有前端；历史桥接步骤不能替代当前版本完整个人看板/筛选验收。</x:v>
      </x:c>
      <x:c r="H36" s="4" t="str">
        <x:v>未作最终验收；详见25组纠偏推进与测试证据</x:v>
      </x:c>
    </x:row>
    <x:row r="37" ht="116" customHeight="1">
      <x:c r="A37" s="12" t="str">
        <x:v>6.1</x:v>
      </x:c>
      <x:c r="B37" s="12" t="str">
        <x:v>教研室与二级学院管理</x:v>
      </x:c>
      <x:c r="C37" s="12" t="str">
        <x:v>3</x:v>
      </x:c>
      <x:c r="D37" s="12" t="str">
        <x:v>建设面向教研室和二级学院的分级管理功能，按照组织层级自动限定数据查看和业务处理范围。</x:v>
      </x:c>
      <x:c r="E37" s="12" t="str">
        <x:v>D21</x:v>
      </x:c>
      <x:c r="F37" s="12" t="str">
        <x:v>D21：已实现接口安全回归通过</x:v>
      </x:c>
      <x:c r="G37" s="12" t="str">
        <x:v>历史审计原文：组织筛选查询具备；当前源码不能核验角色全链范围限制。</x:v>
      </x:c>
      <x:c r="H37" s="12" t="str">
        <x:v>未作最终验收；详见25组纠偏推进与测试证据</x:v>
      </x:c>
    </x:row>
    <x:row r="38" ht="116" customHeight="1">
      <x:c r="A38" s="4" t="str">
        <x:v>6.2</x:v>
      </x:c>
      <x:c r="B38" s="4" t="str">
        <x:v>教研室与二级学院管理</x:v>
      </x:c>
      <x:c r="C38" s="4" t="str">
        <x:v>4</x:v>
      </x:c>
      <x:c r="D38" s="4" t="str">
        <x:v>教研室需能够查看本教研室教师培训数据、课程人次和考核数据，并对教师相关数据、资质材料和考核事项开展审核、汇总和导出。</x:v>
      </x:c>
      <x:c r="E38" s="4" t="str">
        <x:v>D12,D21</x:v>
      </x:c>
      <x:c r="F38" s="4" t="str">
        <x:v>D12：待办服务接回，组织页待补；D21：已实现接口安全回归通过</x:v>
      </x:c>
      <x:c r="G38" s="4" t="str">
        <x:v>历史审计原文：本组织指标和资质/考核/导出跨页入口存在；审核后端缺证。</x:v>
      </x:c>
      <x:c r="H38" s="4" t="str">
        <x:v>未作最终验收；详见25组纠偏推进与测试证据</x:v>
      </x:c>
    </x:row>
    <x:row r="39" ht="116" customHeight="1">
      <x:c r="A39" s="12" t="str">
        <x:v>6.3</x:v>
      </x:c>
      <x:c r="B39" s="12" t="str">
        <x:v>教研室与二级学院管理</x:v>
      </x:c>
      <x:c r="C39" s="12" t="str">
        <x:v>4</x:v>
      </x:c>
      <x:c r="D39" s="12" t="str">
        <x:v>二级学院需能够按学院维度汇聚培训收入、教师参与、课程人次和考核结果，支持所属教研室及教师数据的分层查看。</x:v>
      </x:c>
      <x:c r="E39" s="12" t="str">
        <x:v>D05,D06,D12</x:v>
      </x:c>
      <x:c r="F39" s="12" t="str">
        <x:v>D05：API与真实HTTP回归通过；D06：保留R1修复，浏览器待验；D12：待办服务接回，组织页待补</x:v>
      </x:c>
      <x:c r="G39" s="12" t="str">
        <x:v>历史审计原文：学院和教研室聚合逻辑存在；考核汇聚及业务口径仍需修正。</x:v>
      </x:c>
      <x:c r="H39" s="12" t="str">
        <x:v>未作最终验收；详见25组纠偏推进与测试证据</x:v>
      </x:c>
    </x:row>
    <x:row r="40" ht="116" customHeight="1">
      <x:c r="A40" s="4" t="str">
        <x:v>6.4</x:v>
      </x:c>
      <x:c r="B40" s="4" t="str">
        <x:v>教研室与二级学院管理</x:v>
      </x:c>
      <x:c r="C40" s="4" t="str">
        <x:v>4</x:v>
      </x:c>
      <x:c r="D40" s="4" t="str">
        <x:v>支持按教研室、教师、时间、项目、课程等维度进行统计筛选，并可从汇总结果穿透查看教师和业务明细。</x:v>
      </x:c>
      <x:c r="E40" s="4" t="str">
        <x:v>D06</x:v>
      </x:c>
      <x:c r="F40" s="4" t="str">
        <x:v>D06：保留R1修复，浏览器待验</x:v>
      </x:c>
      <x:c r="G40" s="4" t="str">
        <x:v>历史审计原文：组织筛选入口有，但穿透操作只传org_id，丢项目/课程/日期。</x:v>
      </x:c>
      <x:c r="H40" s="4" t="str">
        <x:v>未作最终验收；详见25组纠偏推进与测试证据</x:v>
      </x:c>
    </x:row>
    <x:row r="41" ht="116" customHeight="1">
      <x:c r="A41" s="12" t="str">
        <x:v>6.5</x:v>
      </x:c>
      <x:c r="B41" s="12" t="str">
        <x:v>教研室与二级学院管理</x:v>
      </x:c>
      <x:c r="C41" s="12" t="str">
        <x:v>4</x:v>
      </x:c>
      <x:c r="D41" s="12" t="str">
        <x:v>支持管理过程中的结果确认、审核意见记录、退回处理和报表导出，相关操作应受到组织权限和数据权限控制并保留操作留痕。</x:v>
      </x:c>
      <x:c r="E41" s="12" t="str">
        <x:v>D18,D21</x:v>
      </x:c>
      <x:c r="F41" s="12" t="str">
        <x:v>D18：事务与故障注入回归通过；D21：已实现接口安全回归通过</x:v>
      </x:c>
      <x:c r="G41" s="12" t="str">
        <x:v>历史审计原文：确认/退回/意见/导出前端和留痕模型存在；服务端实现与授权未取回。</x:v>
      </x:c>
      <x:c r="H41" s="12" t="str">
        <x:v>未作最终验收；详见25组纠偏推进与测试证据</x:v>
      </x:c>
    </x:row>
    <x:row r="42" ht="116" customHeight="1">
      <x:c r="A42" s="4" t="str">
        <x:v>6.6</x:v>
      </x:c>
      <x:c r="B42" s="4" t="str">
        <x:v>教研室与二级学院管理</x:v>
      </x:c>
      <x:c r="C42" s="4" t="str">
        <x:v>4</x:v>
      </x:c>
      <x:c r="D42" s="4" t="str">
        <x:v>页面需能够反映教研室或学院范围内的关键运行指标、待处理事项和考核进度，为分级管理和审核提供数据支撑。</x:v>
      </x:c>
      <x:c r="E42" s="4" t="str">
        <x:v>D12</x:v>
      </x:c>
      <x:c r="F42" s="4" t="str">
        <x:v>D12：待办服务接回，组织页待补</x:v>
      </x:c>
      <x:c r="G42" s="4" t="str">
        <x:v>历史审计原文：该页主要显示收入、人次、教师汇总；本组织待办与考核进度未集中呈现。</x:v>
      </x:c>
      <x:c r="H42" s="4" t="str">
        <x:v>未作最终验收；详见25组纠偏推进与测试证据</x:v>
      </x:c>
    </x:row>
    <x:row r="43" ht="116" customHeight="1">
      <x:c r="A43" s="12" t="str">
        <x:v>7.1</x:v>
      </x:c>
      <x:c r="B43" s="12" t="str">
        <x:v>学校管理驾驶舱</x:v>
      </x:c>
      <x:c r="C43" s="12" t="str">
        <x:v>4</x:v>
      </x:c>
      <x:c r="D43" s="12" t="str">
        <x:v>建设面向学校管理部门的学校管理驾驶舱，集中展示全校非学历教育运行态势和关键管理指标。</x:v>
      </x:c>
      <x:c r="E43" s="12" t="str">
        <x:v>D21</x:v>
      </x:c>
      <x:c r="F43" s="12" t="str">
        <x:v>D21：已实现接口安全回归通过</x:v>
      </x:c>
      <x:c r="G43" s="12" t="str">
        <x:v>历史审计原文：学校角色驾驶舱入口与统一布局已有；完整运行和服务端入口权限仍待核。</x:v>
      </x:c>
      <x:c r="H43" s="12" t="str">
        <x:v>未作最终验收；详见25组纠偏推进与测试证据</x:v>
      </x:c>
    </x:row>
    <x:row r="44" ht="116" customHeight="1">
      <x:c r="A44" s="4" t="str">
        <x:v>7.2</x:v>
      </x:c>
      <x:c r="B44" s="4" t="str">
        <x:v>学校管理驾驶舱</x:v>
      </x:c>
      <x:c r="C44" s="4" t="str">
        <x:v>4</x:v>
      </x:c>
      <x:c r="D44" s="4" t="str">
        <x:v>驾驶舱需展示全校培训收入、人次规模、参与教师数、项目课程班级规模、考核结果及省级平台同步状态等综合信息。</x:v>
      </x:c>
      <x:c r="E44" s="4" t="str">
        <x:v>D03,D04,D07</x:v>
      </x:c>
      <x:c r="F44" s="4" t="str">
        <x:v>D03：只读状态接回；D04：未实施；D07：待学校口径确认</x:v>
      </x:c>
      <x:c r="G44" s="4" t="str">
        <x:v>历史审计原文：主要规模指标存在，接口状态写死；项目课程班级按已有培训流水去重。</x:v>
      </x:c>
      <x:c r="H44" s="4" t="str">
        <x:v>未作最终验收；详见25组纠偏推进与测试证据</x:v>
      </x:c>
    </x:row>
    <x:row r="45" ht="116" customHeight="1">
      <x:c r="A45" s="12" t="str">
        <x:v>7.3</x:v>
      </x:c>
      <x:c r="B45" s="12" t="str">
        <x:v>学校管理驾驶舱</x:v>
      </x:c>
      <x:c r="C45" s="12" t="str">
        <x:v>4</x:v>
      </x:c>
      <x:c r="D45" s="12" t="str">
        <x:v>支持按二级学院、教研室、时间、项目、课程等维度进行筛选、汇总和对比分析，并能够查看相关业务明细。</x:v>
      </x:c>
      <x:c r="E45" s="12" t="str">
        <x:v>D05,D06</x:v>
      </x:c>
      <x:c r="F45" s="12" t="str">
        <x:v>D05：API与真实HTTP回归通过；D06：保留R1修复，浏览器待验</x:v>
      </x:c>
      <x:c r="G45" s="12" t="str">
        <x:v>历史审计原文：项目/课程/日期不影响考核分布，且下钻会失去当前条件。</x:v>
      </x:c>
      <x:c r="H45" s="12" t="str">
        <x:v>未作最终验收；详见25组纠偏推进与测试证据</x:v>
      </x:c>
    </x:row>
    <x:row r="46" ht="116" customHeight="1">
      <x:c r="A46" s="4" t="str">
        <x:v>7.4</x:v>
      </x:c>
      <x:c r="B46" s="4" t="str">
        <x:v>学校管理驾驶舱</x:v>
      </x:c>
      <x:c r="C46" s="4" t="str">
        <x:v>4</x:v>
      </x:c>
      <x:c r="D46" s="4" t="str">
        <x:v>提供学院排行、趋势分析、教师参与情况、考核分布、同步状态等可视化展示，用于辅助学校掌握非学历教育总体运行情况。</x:v>
      </x:c>
      <x:c r="E46" s="4" t="str">
        <x:v>D05,D07</x:v>
      </x:c>
      <x:c r="F46" s="4" t="str">
        <x:v>D05：API与真实HTTP回归通过；D07：待学校口径确认</x:v>
      </x:c>
      <x:c r="G46" s="4" t="str">
        <x:v>历史审计原文：学院排行/收入趋势/处理状态数量已有；考核分布只体现流程环节，成绩分布需学校确认。</x:v>
      </x:c>
      <x:c r="H46" s="4" t="str">
        <x:v>未作最终验收；详见25组纠偏推进与测试证据</x:v>
      </x:c>
    </x:row>
    <x:row r="47" ht="116" customHeight="1">
      <x:c r="A47" s="12" t="str">
        <x:v>7.5</x:v>
      </x:c>
      <x:c r="B47" s="12" t="str">
        <x:v>学校管理驾驶舱</x:v>
      </x:c>
      <x:c r="C47" s="12" t="str">
        <x:v>4</x:v>
      </x:c>
      <x:c r="D47" s="12" t="str">
        <x:v>驾驶舱统计数据需与教师工作台、学院管理、考核管理和接口同步等业务模块保持同源同口径，避免同一指标出现多套统计结果。</x:v>
      </x:c>
      <x:c r="E47" s="12" t="str">
        <x:v>D05</x:v>
      </x:c>
      <x:c r="F47" s="12" t="str">
        <x:v>D05：API与真实HTTP回归通过</x:v>
      </x:c>
      <x:c r="G47" s="12" t="str">
        <x:v>历史审计原文：同一筛选下培训指标与考核指标统计人群不一致。</x:v>
      </x:c>
      <x:c r="H47" s="12" t="str">
        <x:v>未作最终验收；详见25组纠偏推进与测试证据</x:v>
      </x:c>
    </x:row>
    <x:row r="48" ht="116" customHeight="1">
      <x:c r="A48" s="4" t="str">
        <x:v>7.6</x:v>
      </x:c>
      <x:c r="B48" s="4" t="str">
        <x:v>学校管理驾驶舱</x:v>
      </x:c>
      <x:c r="C48" s="4" t="str">
        <x:v>4</x:v>
      </x:c>
      <x:c r="D48" s="4" t="str">
        <x:v>项目交付时需完成驾驶舱指标展示、筛选分析、统计图表和必要的明细穿透功能。</x:v>
      </x:c>
      <x:c r="E48" s="4" t="str">
        <x:v>D06,D07</x:v>
      </x:c>
      <x:c r="F48" s="4" t="str">
        <x:v>D06：保留R1修复，浏览器待验；D07：待学校口径确认</x:v>
      </x:c>
      <x:c r="G48" s="4" t="str">
        <x:v>历史审计原文：图表和规模前端存在，但钻取和筛选语义仍有已复现差异。</x:v>
      </x:c>
      <x:c r="H48" s="4" t="str">
        <x:v>未作最终验收；详见25组纠偏推进与测试证据</x:v>
      </x:c>
    </x:row>
    <x:row r="49" ht="116" customHeight="1">
      <x:c r="A49" s="12" t="str">
        <x:v>8.1</x:v>
      </x:c>
      <x:c r="B49" s="12" t="str">
        <x:v>教师资质管理</x:v>
      </x:c>
      <x:c r="C49" s="12" t="str">
        <x:v>4</x:v>
      </x:c>
      <x:c r="D49" s="12" t="str">
        <x:v>建设教师资质管理功能，用于维护教师参加非学历教育相关的资质信息、证书材料、有效期、审核状态和变更记录。</x:v>
      </x:c>
      <x:c r="E49" s="12" t="str">
        <x:v>D01</x:v>
      </x:c>
      <x:c r="F49" s="12" t="str">
        <x:v>D01：运行核心已接回，部署仍阻断</x:v>
      </x:c>
      <x:c r="G49" s="12" t="str">
        <x:v>历史审计原文：资质字段、审核状态与版本结构齐备；并非完整CRUD/工作流已验收。</x:v>
      </x:c>
      <x:c r="H49" s="12" t="str">
        <x:v>未作最终验收；详见25组纠偏推进与测试证据</x:v>
      </x:c>
    </x:row>
    <x:row r="50" ht="116" customHeight="1">
      <x:c r="A50" s="4" t="str">
        <x:v>8.2</x:v>
      </x:c>
      <x:c r="B50" s="4" t="str">
        <x:v>教师资质管理</x:v>
      </x:c>
      <x:c r="C50" s="4" t="str">
        <x:v>4</x:v>
      </x:c>
      <x:c r="D50" s="4" t="str">
        <x:v>资质档案需支持资质类别、证书名称、证书编号、发证机构、取得时间、有效期等信息维护，并支持相关附件材料上传、查看和归档。</x:v>
      </x:c>
      <x:c r="E50" s="4" t="str">
        <x:v>D21</x:v>
      </x:c>
      <x:c r="F50" s="4" t="str">
        <x:v>D21：已实现接口安全回归通过</x:v>
      </x:c>
      <x:c r="G50" s="4" t="str">
        <x:v>历史审计原文：采购核心字段和真实上传入口已具备；上传/存储实现缺证。</x:v>
      </x:c>
      <x:c r="H50" s="4" t="str">
        <x:v>未作最终验收；详见25组纠偏推进与测试证据</x:v>
      </x:c>
    </x:row>
    <x:row r="51" ht="116" customHeight="1">
      <x:c r="A51" s="12" t="str">
        <x:v>8.3</x:v>
      </x:c>
      <x:c r="B51" s="12" t="str">
        <x:v>教师资质管理</x:v>
      </x:c>
      <x:c r="C51" s="12" t="str">
        <x:v>5</x:v>
      </x:c>
      <x:c r="D51" s="12" t="str">
        <x:v>建立资质审核流转机制，支持提交、审核、退回、重新提交等处理，并记录审核人员、处理时间、审核意见和状态变化。</x:v>
      </x:c>
      <x:c r="E51" s="12" t="str">
        <x:v>D22</x:v>
      </x:c>
      <x:c r="F51" s="12" t="str">
        <x:v>D22：多层证据分开记录</x:v>
      </x:c>
      <x:c r="G51" s="12" t="str">
        <x:v>历史审计原文：提交、审核、退回、重提与轨迹入口存在，旧记录走过桥接流程。</x:v>
      </x:c>
      <x:c r="H51" s="12" t="str">
        <x:v>未作最终验收；详见25组纠偏推进与测试证据</x:v>
      </x:c>
    </x:row>
    <x:row r="52" ht="116" customHeight="1">
      <x:c r="A52" s="4" t="str">
        <x:v>8.4</x:v>
      </x:c>
      <x:c r="B52" s="4" t="str">
        <x:v>教师资质管理</x:v>
      </x:c>
      <x:c r="C52" s="4" t="str">
        <x:v>5</x:v>
      </x:c>
      <x:c r="D52" s="4" t="str">
        <x:v>对具有有效期的教师资质需提供到期提醒；资质信息变更时需保留变更前后值、附件版本、操作人、操作时间及变更依据。</x:v>
      </x:c>
      <x:c r="E52" s="4" t="str">
        <x:v>D09,D22</x:v>
      </x:c>
      <x:c r="F52" s="4" t="str">
        <x:v>D09：待学校口径确认；D22：多层证据分开记录</x:v>
      </x:c>
      <x:c r="G52" s="4" t="str">
        <x:v>历史审计原文：有效期字段、历史版本与提醒天数存在；到期任务/通知实际实现未取得。</x:v>
      </x:c>
      <x:c r="H52" s="4" t="str">
        <x:v>未作最终验收；详见25组纠偏推进与测试证据</x:v>
      </x:c>
    </x:row>
    <x:row r="53" ht="116" customHeight="1">
      <x:c r="A53" s="12" t="str">
        <x:v>8.5</x:v>
      </x:c>
      <x:c r="B53" s="12" t="str">
        <x:v>教师资质管理</x:v>
      </x:c>
      <x:c r="C53" s="12" t="str">
        <x:v>5</x:v>
      </x:c>
      <x:c r="D53" s="12" t="str">
        <x:v>已经用于已归档考核周期的资质信息和佐证材料不得因后续更新被静默覆盖，应通过历史版本或快照方式保留当期依据。</x:v>
      </x:c>
      <x:c r="E53" s="12" t="str">
        <x:v>D09,D21</x:v>
      </x:c>
      <x:c r="F53" s="12" t="str">
        <x:v>D09：待学校口径确认；D21：已实现接口安全回归通过</x:v>
      </x:c>
      <x:c r="G53" s="12" t="str">
        <x:v>历史审计原文：考核取数保存资质版本及附件快照，具备正确基础；禁止覆盖约束及下载链待验。</x:v>
      </x:c>
      <x:c r="H53" s="12" t="str">
        <x:v>未作最终验收；详见25组纠偏推进与测试证据</x:v>
      </x:c>
    </x:row>
    <x:row r="54" ht="116" customHeight="1">
      <x:c r="A54" s="4" t="str">
        <x:v>8.6</x:v>
      </x:c>
      <x:c r="B54" s="4" t="str">
        <x:v>教师资质管理</x:v>
      </x:c>
      <x:c r="C54" s="4" t="str">
        <x:v>5</x:v>
      </x:c>
      <x:c r="D54" s="4" t="str">
        <x:v>涉及教师证书、证明材料等文件时，应与教师身份、组织权限和业务权限绑定，防止无权限查看和下载。</x:v>
      </x:c>
      <x:c r="E54" s="4" t="str">
        <x:v>D21</x:v>
      </x:c>
      <x:c r="F54" s="4" t="str">
        <x:v>D21：已实现接口安全回归通过</x:v>
      </x:c>
      <x:c r="G54" s="4" t="str">
        <x:v>历史审计原文：附件有教师/业务归属，但下载端授权函数缺失，不能认定防越权通过。</x:v>
      </x:c>
      <x:c r="H54" s="4" t="str">
        <x:v>未作最终验收；详见25组纠偏推进与测试证据</x:v>
      </x:c>
    </x:row>
    <x:row r="55" ht="116" customHeight="1">
      <x:c r="A55" s="12" t="str">
        <x:v>9.1</x:v>
      </x:c>
      <x:c r="B55" s="12" t="str">
        <x:v>教师积分激励</x:v>
      </x:c>
      <x:c r="C55" s="12" t="str">
        <x:v>5</x:v>
      </x:c>
      <x:c r="D55" s="12" t="str">
        <x:v>建设教师积分激励功能，支持根据学校管理要求配置积分规则、适用周期和积分来源，并形成教师积分台账。</x:v>
      </x:c>
      <x:c r="E55" s="12" t="str">
        <x:v>D08</x:v>
      </x:c>
      <x:c r="F55" s="12" t="str">
        <x:v>D08：教师规则API回归通过</x:v>
      </x:c>
      <x:c r="G55" s="12" t="str">
        <x:v>历史审计原文：有规则、周期和台账基础；支持规则范围要按学校制度确认。</x:v>
      </x:c>
      <x:c r="H55" s="12" t="str">
        <x:v>未作最终验收；详见25组纠偏推进与测试证据</x:v>
      </x:c>
    </x:row>
    <x:row r="56" ht="116" customHeight="1">
      <x:c r="A56" s="4" t="str">
        <x:v>9.2</x:v>
      </x:c>
      <x:c r="B56" s="4" t="str">
        <x:v>教师积分激励</x:v>
      </x:c>
      <x:c r="C56" s="4" t="str">
        <x:v>5</x:v>
      </x:c>
      <x:c r="D56" s="4" t="str">
        <x:v>积分来源可关联教师授课、课程人次、考核结果等业务数据，并支持根据已汇聚的数据自动匹配规则、计算积分和生成积分明细。</x:v>
      </x:c>
      <x:c r="E56" s="4" t="str">
        <x:v>D08,D09</x:v>
      </x:c>
      <x:c r="F56" s="4" t="str">
        <x:v>D08：教师规则API回归通过；D09：待学校口径确认</x:v>
      </x:c>
      <x:c r="G56" s="4" t="str">
        <x:v>历史审计原文：授课/人次可取数；考核结果固定取上一已归档周期，PDF未固定这个口径。</x:v>
      </x:c>
      <x:c r="H56" s="4" t="str">
        <x:v>未作最终验收；详见25组纠偏推进与测试证据</x:v>
      </x:c>
    </x:row>
    <x:row r="57" ht="116" customHeight="1">
      <x:c r="A57" s="12" t="str">
        <x:v>9.3</x:v>
      </x:c>
      <x:c r="B57" s="12" t="str">
        <x:v>教师积分激励</x:v>
      </x:c>
      <x:c r="C57" s="12" t="str">
        <x:v>5</x:v>
      </x:c>
      <x:c r="D57" s="12" t="str">
        <x:v>每次积分计算应记录计算批次、教师、原始数据、数据来源、规则版本、计算规则/公式、计算结果和计算时间，确保积分结果可解释、可核验、可追溯。</x:v>
      </x:c>
      <x:c r="E57" s="12" t="str">
        <x:v>D01</x:v>
      </x:c>
      <x:c r="F57" s="12" t="str">
        <x:v>D01：运行核心已接回，部署仍阻断</x:v>
      </x:c>
      <x:c r="G57" s="12" t="str">
        <x:v>历史审计原文：批次、原始值、公式、规则、快照、时间字段存在；完整持久化路径待验。</x:v>
      </x:c>
      <x:c r="H57" s="12" t="str">
        <x:v>未作最终验收；详见25组纠偏推进与测试证据</x:v>
      </x:c>
    </x:row>
    <x:row r="58" ht="116" customHeight="1">
      <x:c r="A58" s="4" t="str">
        <x:v>9.4</x:v>
      </x:c>
      <x:c r="B58" s="4" t="str">
        <x:v>教师积分激励</x:v>
      </x:c>
      <x:c r="C58" s="4" t="str">
        <x:v>5</x:v>
      </x:c>
      <x:c r="D58" s="4" t="str">
        <x:v>积分规则应支持版本化管理，新规则启用后应保留历史规则版本及对应历史结果，已确认历史结果不得因新规则上线被自动改写。</x:v>
      </x:c>
      <x:c r="E58" s="4" t="str">
        <x:v>D14</x:v>
      </x:c>
      <x:c r="F58" s="4" t="str">
        <x:v>D14：积分链API与HTTP回归通过</x:v>
      </x:c>
      <x:c r="G58" s="4" t="str">
        <x:v>历史审计原文：拒绝已确认直接重算，支持留痕解锁入口；解锁后历史保护实际实现未知。</x:v>
      </x:c>
      <x:c r="H58" s="4" t="str">
        <x:v>未作最终验收；详见25组纠偏推进与测试证据</x:v>
      </x:c>
    </x:row>
    <x:row r="59" ht="116" customHeight="1">
      <x:c r="A59" s="12" t="str">
        <x:v>9.5</x:v>
      </x:c>
      <x:c r="B59" s="12" t="str">
        <x:v>教师积分激励</x:v>
      </x:c>
      <x:c r="C59" s="12" t="str">
        <x:v>5</x:v>
      </x:c>
      <x:c r="D59" s="12" t="str">
        <x:v>支持教师对积分明细提出核对申请；经授权人员可开展人工复核、重新取数、重新计算或纠错处理，所有人工调整需记录操作人、时间、调整前值、调整后值、原因和依据。</x:v>
      </x:c>
      <x:c r="E59" s="12" t="str">
        <x:v>D18,D21</x:v>
      </x:c>
      <x:c r="F59" s="12" t="str">
        <x:v>D18：事务与故障注入回归通过；D21：已实现接口安全回归通过</x:v>
      </x:c>
      <x:c r="G59" s="12" t="str">
        <x:v>历史审计原文：核对、复核、重新计算和调整UI已见；人工操作事务/授权缺证。</x:v>
      </x:c>
      <x:c r="H59" s="12" t="str">
        <x:v>未作最终验收；详见25组纠偏推进与测试证据</x:v>
      </x:c>
    </x:row>
    <x:row r="60" ht="116" customHeight="1">
      <x:c r="A60" s="4" t="str">
        <x:v>9.6</x:v>
      </x:c>
      <x:c r="B60" s="4" t="str">
        <x:v>教师积分激励</x:v>
      </x:c>
      <x:c r="C60" s="4" t="str">
        <x:v>5</x:v>
      </x:c>
      <x:c r="D60" s="4" t="str">
        <x:v>积分结果形成后原则上不直接修改原始积分明细，确需纠错时应通过调整项或反向积分冲销等方式处理并保留完整记录。</x:v>
      </x:c>
      <x:c r="E60" s="4" t="str">
        <x:v>D14</x:v>
      </x:c>
      <x:c r="F60" s="4" t="str">
        <x:v>D14：积分链API与HTTP回归通过</x:v>
      </x:c>
      <x:c r="G60" s="4" t="str">
        <x:v>历史审计原文：自动重算追加差額而非删除历史；人工调整入口可填负数。</x:v>
      </x:c>
      <x:c r="H60" s="4" t="str">
        <x:v>未作最终验收；详见25组纠偏推进与测试证据</x:v>
      </x:c>
    </x:row>
    <x:row r="61" ht="116" customHeight="1">
      <x:c r="A61" s="12" t="str">
        <x:v>9.7</x:v>
      </x:c>
      <x:c r="B61" s="12" t="str">
        <x:v>教师积分激励</x:v>
      </x:c>
      <x:c r="C61" s="12" t="str">
        <x:v>5</x:v>
      </x:c>
      <x:c r="D61" s="12" t="str">
        <x:v>项目上线前应选取真实业务案例，将系统自动积分结果与学校人工计算结果进行双轨比对，验收样本结果一致率应达到100%。</x:v>
      </x:c>
      <x:c r="E61" s="12" t="str">
        <x:v>D25</x:v>
      </x:c>
      <x:c r="F61" s="12" t="str">
        <x:v>D25：仍待外部与实际履约</x:v>
      </x:c>
      <x:c r="G61" s="12" t="str">
        <x:v>历史审计原文：没有学校人工计算样本及签认比对结果；旧试算记录不是正式100%一致验收。</x:v>
      </x:c>
      <x:c r="H61" s="12" t="str">
        <x:v>未作最终验收；详见25组纠偏推进与测试证据</x:v>
      </x:c>
    </x:row>
    <x:row r="62" ht="116" customHeight="1">
      <x:c r="A62" s="4" t="str">
        <x:v>9.8</x:v>
      </x:c>
      <x:c r="B62" s="4" t="str">
        <x:v>教师积分激励</x:v>
      </x:c>
      <x:c r="C62" s="4" t="str">
        <x:v>5</x:v>
      </x:c>
      <x:c r="D62" s="4" t="str">
        <x:v>积分规则应支持启用、停用、复制和试算，新规则正式启用前可选取教师样本预览计算结果，确认无误后再生效。</x:v>
      </x:c>
      <x:c r="E62" s="4" t="str">
        <x:v>D08</x:v>
      </x:c>
      <x:c r="F62" s="4" t="str">
        <x:v>D08：教师规则API回归通过</x:v>
      </x:c>
      <x:c r="G62" s="4" t="str">
        <x:v>历史审计原文：启停、复制、试算前端存在；后端服务完整约束与流程未取回。</x:v>
      </x:c>
      <x:c r="H62" s="4" t="str">
        <x:v>未作最终验收；详见25组纠偏推进与测试证据</x:v>
      </x:c>
    </x:row>
    <x:row r="63" ht="116" customHeight="1">
      <x:c r="A63" s="12" t="str">
        <x:v>9.9</x:v>
      </x:c>
      <x:c r="B63" s="12" t="str">
        <x:v>教师积分激励</x:v>
      </x:c>
      <x:c r="C63" s="12" t="str">
        <x:v>5,6</x:v>
      </x:c>
      <x:c r="D63" s="12" t="str">
        <x:v>支持对单个教师或指定积分项进行重新计算，无需每次执行全部教师的全量积分计算。</x:v>
      </x:c>
      <x:c r="E63" s="12" t="str">
        <x:v>D14</x:v>
      </x:c>
      <x:c r="F63" s="12" t="str">
        <x:v>D14：积分链API与HTTP回归通过</x:v>
      </x:c>
      <x:c r="G63" s="12" t="str">
        <x:v>历史审计原文：确有teacher_ids和item_keys定向重算，不能报告这项完全未开发。</x:v>
      </x:c>
      <x:c r="H63" s="12" t="str">
        <x:v>未作最终验收；详见25组纠偏推进与测试证据</x:v>
      </x:c>
    </x:row>
    <x:row r="64" ht="116" customHeight="1">
      <x:c r="A64" s="4" t="str">
        <x:v>10.1</x:v>
      </x:c>
      <x:c r="B64" s="4" t="str">
        <x:v>三级考核管理</x:v>
      </x:c>
      <x:c r="C64" s="4" t="str">
        <x:v>6</x:v>
      </x:c>
      <x:c r="D64" s="4" t="str">
        <x:v>建设三级考核管理功能，支持按照学校实际管理制度配置学校、二级学院、教研室、教师相关考核指标、权重、评分规则和适用周期。</x:v>
      </x:c>
      <x:c r="E64" s="4" t="str">
        <x:v>D02</x:v>
      </x:c>
      <x:c r="F64" s="4" t="str">
        <x:v>D02：未实施</x:v>
      </x:c>
      <x:c r="G64" s="4" t="str">
        <x:v>历史审计原文：现有可核验模型只支持teacher_id考核。PDF涉及四层指标；用户进一步明确独立组织考核，现片段未实现。</x:v>
      </x:c>
      <x:c r="H64" s="4" t="str">
        <x:v>未作最终验收；详见25组纠偏推进与测试证据</x:v>
      </x:c>
    </x:row>
    <x:row r="65" ht="116" customHeight="1">
      <x:c r="A65" s="12" t="str">
        <x:v>10.2</x:v>
      </x:c>
      <x:c r="B65" s="12" t="str">
        <x:v>三级考核管理</x:v>
      </x:c>
      <x:c r="C65" s="12" t="str">
        <x:v>6</x:v>
      </x:c>
      <x:c r="D65" s="12" t="str">
        <x:v>考核启动后应能够从平台已接入数据中自动获取相应考核数据并生成得分，单项指标应能够查看原始值、数据来源、适用规则、计算过程和得分明细。</x:v>
      </x:c>
      <x:c r="E65" s="12" t="str">
        <x:v>D02,D08</x:v>
      </x:c>
      <x:c r="F65" s="12" t="str">
        <x:v>D02：未实施；D08：教师规则API回归通过</x:v>
      </x:c>
      <x:c r="G65" s="12" t="str">
        <x:v>历史审计原文：教师取数、原始值/公式/得分/快照已有；组织级及学校公式范围不足。</x:v>
      </x:c>
      <x:c r="H65" s="12" t="str">
        <x:v>未作最终验收；详见25组纠偏推进与测试证据</x:v>
      </x:c>
    </x:row>
    <x:row r="66" ht="116" customHeight="1">
      <x:c r="A66" s="4" t="str">
        <x:v>10.3</x:v>
      </x:c>
      <x:c r="B66" s="4" t="str">
        <x:v>三级考核管理</x:v>
      </x:c>
      <x:c r="C66" s="4" t="str">
        <x:v>6</x:v>
      </x:c>
      <x:c r="D66" s="4" t="str">
        <x:v>考核流程按照“数据采集—自动计算—教师确认/核对—教研室确认—学院确认—学校审核—归档”组织，并支持审核意见、退回处理、结果确认和过程留痕。</x:v>
      </x:c>
      <x:c r="E66" s="4" t="str">
        <x:v>D21,D22</x:v>
      </x:c>
      <x:c r="F66" s="4" t="str">
        <x:v>D21：已实现接口安全回归通过；D22：多层证据分开记录</x:v>
      </x:c>
      <x:c r="G66" s="4" t="str">
        <x:v>历史审计原文：教师→教研室→学院→学校→归档顺序正确；服务端流转实现缺当前证据。</x:v>
      </x:c>
      <x:c r="H66" s="4" t="str">
        <x:v>未作最终验收；详见25组纠偏推进与测试证据</x:v>
      </x:c>
    </x:row>
    <x:row r="67" ht="116" customHeight="1">
      <x:c r="A67" s="12" t="str">
        <x:v>10.4</x:v>
      </x:c>
      <x:c r="B67" s="12" t="str">
        <x:v>三级考核管理</x:v>
      </x:c>
      <x:c r="C67" s="12" t="str">
        <x:v>6</x:v>
      </x:c>
      <x:c r="D67" s="12" t="str">
        <x:v>支持教师对本人考核基础数据、指标得分和计算依据提出异议或核对申请；审核人员可根据权限开展人工复核、补充材料、重新取数和重新计算。</x:v>
      </x:c>
      <x:c r="E67" s="12" t="str">
        <x:v>D21</x:v>
      </x:c>
      <x:c r="F67" s="12" t="str">
        <x:v>D21：已实现接口安全回归通过</x:v>
      </x:c>
      <x:c r="G67" s="12" t="str">
        <x:v>历史审计原文：异议、补充附件和复核入口存在；未取得处理状态机及事务实现。</x:v>
      </x:c>
      <x:c r="H67" s="12" t="str">
        <x:v>未作最终验收；详见25组纠偏推进与测试证据</x:v>
      </x:c>
    </x:row>
    <x:row r="68" ht="116" customHeight="1">
      <x:c r="A68" s="4" t="str">
        <x:v>10.5</x:v>
      </x:c>
      <x:c r="B68" s="4" t="str">
        <x:v>三级考核管理</x:v>
      </x:c>
      <x:c r="C68" s="4" t="str">
        <x:v>6</x:v>
      </x:c>
      <x:c r="D68" s="4" t="str">
        <x:v>考核指标、权重或评分规则需进行版本化管理；已归档考核结果应形成结果快照，后续规则变化不得静默改写既有历史结果。</x:v>
      </x:c>
      <x:c r="E68" s="4" t="str">
        <x:v>D02,D21</x:v>
      </x:c>
      <x:c r="F68" s="4" t="str">
        <x:v>D02：未实施；D21：已实现接口安全回归通过</x:v>
      </x:c>
      <x:c r="G68" s="4" t="str">
        <x:v>历史审计原文：规则版本和归档快照字段已建，重算拒绝非TEACHER；归档写入及不可变约束缺证。</x:v>
      </x:c>
      <x:c r="H68" s="4" t="str">
        <x:v>未作最终验收；详见25组纠偏推进与测试证据</x:v>
      </x:c>
    </x:row>
    <x:row r="69" ht="116" customHeight="1">
      <x:c r="A69" s="12" t="str">
        <x:v>10.6</x:v>
      </x:c>
      <x:c r="B69" s="12" t="str">
        <x:v>三级考核管理</x:v>
      </x:c>
      <x:c r="C69" s="12" t="str">
        <x:v>6</x:v>
      </x:c>
      <x:c r="D69" s="12" t="str">
        <x:v>对考核异常数据、人工调整和结果更正，应记录操作人员、操作时间、调整前值、调整后值、调整原因及依据，保证全过程可追溯。</x:v>
      </x:c>
      <x:c r="E69" s="12" t="str">
        <x:v>D18</x:v>
      </x:c>
      <x:c r="F69" s="12" t="str">
        <x:v>D18：事务与故障注入回归通过</x:v>
      </x:c>
      <x:c r="G69" s="12" t="str">
        <x:v>历史审计原文：人工更正入口和审计字段存在；是否真正追加调整而不覆盖依据待后端核验。</x:v>
      </x:c>
      <x:c r="H69" s="12" t="str">
        <x:v>未作最终验收；详见25组纠偏推进与测试证据</x:v>
      </x:c>
    </x:row>
    <x:row r="70" ht="116" customHeight="1">
      <x:c r="A70" s="4" t="str">
        <x:v>10.7</x:v>
      </x:c>
      <x:c r="B70" s="4" t="str">
        <x:v>三级考核管理</x:v>
      </x:c>
      <x:c r="C70" s="4" t="str">
        <x:v>6</x:v>
      </x:c>
      <x:c r="D70" s="4" t="str">
        <x:v>考核结果需支持排名、查询、导出和打印；系统正式上线前应选取代表性真实案例与学校现行人工计算结果开展双轨比对，验收样本计算一致率应达到100%。</x:v>
      </x:c>
      <x:c r="E70" s="4" t="str">
        <x:v>D24,D25</x:v>
      </x:c>
      <x:c r="F70" s="4" t="str">
        <x:v>D24：交付施工检查点；D25：仍待外部与实际履约</x:v>
      </x:c>
      <x:c r="G70" s="4" t="str">
        <x:v>历史审计原文：有范围序号、打印及导出入口；排名后端/打印成品缺证；学校真实样本100%比对未做。</x:v>
      </x:c>
      <x:c r="H70" s="4" t="str">
        <x:v>未作最终验收；详见25组纠偏推进与测试证据</x:v>
      </x:c>
    </x:row>
    <x:row r="71" ht="116" customHeight="1">
      <x:c r="A71" s="12" t="str">
        <x:v>10.8</x:v>
      </x:c>
      <x:c r="B71" s="12" t="str">
        <x:v>三级考核管理</x:v>
      </x:c>
      <x:c r="C71" s="12" t="str">
        <x:v>6</x:v>
      </x:c>
      <x:c r="D71" s="12" t="str">
        <x:v>考核指标、权重、评分规则和适用周期应支持配置维护，并可复制上一考核周期的规则形成新周期配置，在此基础上进行调整。</x:v>
      </x:c>
      <x:c r="E71" s="12" t="str">
        <x:v>D08</x:v>
      </x:c>
      <x:c r="F71" s="12" t="str">
        <x:v>D08：教师规则API回归通过</x:v>
      </x:c>
      <x:c r="G71" s="12" t="str">
        <x:v>历史审计原文：复制上一周期可选新周期并生成规则入口已见；后端版本/权重/指纹约束缺证。</x:v>
      </x:c>
      <x:c r="H71" s="12" t="str">
        <x:v>未作最终验收；详见25组纠偏推进与测试证据</x:v>
      </x:c>
    </x:row>
    <x:row r="72" ht="116" customHeight="1">
      <x:c r="A72" s="4" t="str">
        <x:v>10.9</x:v>
      </x:c>
      <x:c r="B72" s="4" t="str">
        <x:v>三级考核管理</x:v>
      </x:c>
      <x:c r="C72" s="4" t="str">
        <x:v>6</x:v>
      </x:c>
      <x:c r="D72" s="4" t="str">
        <x:v>考核过程中应能够查看教师确认、教研室确认、学院确认、学校审核等各级处理进度，并支持按未处理、已完成、退回等状态筛选。</x:v>
      </x:c>
      <x:c r="E72" s="4" t="str">
        <x:v>D13</x:v>
      </x:c>
      <x:c r="F72" s="4" t="str">
        <x:v>D13：API条件已接回</x:v>
      </x:c>
      <x:c r="G72" s="4" t="str">
        <x:v>历史审计原文：可查看各环节及是否退回列；筛选只列流程状态，没有独立退回筛选控件。</x:v>
      </x:c>
      <x:c r="H72" s="4" t="str">
        <x:v>未作最终验收；详见25组纠偏推进与测试证据</x:v>
      </x:c>
    </x:row>
    <x:row r="73" ht="116" customHeight="1">
      <x:c r="A73" s="12" t="str">
        <x:v>11.1</x:v>
      </x:c>
      <x:c r="B73" s="12" t="str">
        <x:v>湘培直通车平台对接</x:v>
      </x:c>
      <x:c r="C73" s="12" t="str">
        <x:v>6</x:v>
      </x:c>
      <x:c r="D73" s="12" t="str">
        <x:v>按照湘培直通车省级平台接口规范完成接口对接和联调，实现平台与省级平台之间相关业务数据同步。</x:v>
      </x:c>
      <x:c r="E73" s="12" t="str">
        <x:v>D03</x:v>
      </x:c>
      <x:c r="F73" s="12" t="str">
        <x:v>D03：只读状态接回</x:v>
      </x:c>
      <x:c r="G73" s="12" t="str">
        <x:v>历史审计原文：只见映射与本地校验/任务结构；真实适配源码与省平台联调均未取得。</x:v>
      </x:c>
      <x:c r="H73" s="12" t="str">
        <x:v>未作最终验收；详见25组纠偏推进与测试证据</x:v>
      </x:c>
    </x:row>
    <x:row r="74" ht="116" customHeight="1">
      <x:c r="A74" s="4" t="str">
        <x:v>11.2</x:v>
      </x:c>
      <x:c r="B74" s="4" t="str">
        <x:v>湘培直通车平台对接</x:v>
      </x:c>
      <x:c r="C74" s="4" t="str">
        <x:v>6</x:v>
      </x:c>
      <x:c r="D74" s="4" t="str">
        <x:v>接口开发前需确认省级平台可用接口清单、字段标准、鉴权方式、调用频率、接口责任单位及可用性条件，并形成接口确认记录。</x:v>
      </x:c>
      <x:c r="E74" s="4" t="str">
        <x:v>D03</x:v>
      </x:c>
      <x:c r="F74" s="4" t="str">
        <x:v>D03：只读状态接回</x:v>
      </x:c>
      <x:c r="G74" s="4" t="str">
        <x:v>历史审计原文：配置有责任单位/地址/变量名/频率，尚无省平台接口责任清单确认材料。</x:v>
      </x:c>
      <x:c r="H74" s="4" t="str">
        <x:v>未作最终验收；详见25组纠偏推进与测试证据</x:v>
      </x:c>
    </x:row>
    <x:row r="75" ht="116" customHeight="1">
      <x:c r="A75" s="12" t="str">
        <x:v>11.3</x:v>
      </x:c>
      <x:c r="B75" s="12" t="str">
        <x:v>湘培直通车平台对接</x:v>
      </x:c>
      <x:c r="C75" s="12" t="str">
        <x:v>6</x:v>
      </x:c>
      <x:c r="D75" s="12" t="str">
        <x:v>同步数据范围包括培训项目、课程、计划、班级、教师授课、人次、学习过程、培训记录、考核结果、结业结果、证书信息等。</x:v>
      </x:c>
      <x:c r="E75" s="12" t="str">
        <x:v>D04</x:v>
      </x:c>
      <x:c r="F75" s="12" t="str">
        <x:v>D04：未实施</x:v>
      </x:c>
      <x:c r="G75" s="12" t="str">
        <x:v>历史审计原文：已取模型不能覆盖全部计划、学习过程、结业结果、证书等传输数据；教师资质不等于培训结业证书。</x:v>
      </x:c>
      <x:c r="H75" s="12" t="str">
        <x:v>未作最终验收；详见25组纠偏推进与测试证据</x:v>
      </x:c>
    </x:row>
    <x:row r="76" ht="116" customHeight="1">
      <x:c r="A76" s="4" t="str">
        <x:v>11.4</x:v>
      </x:c>
      <x:c r="B76" s="4" t="str">
        <x:v>湘培直通车平台对接</x:v>
      </x:c>
      <x:c r="C76" s="4" t="str">
        <x:v>6,7</x:v>
      </x:c>
      <x:c r="D76" s="4" t="str">
        <x:v>同步任务需记录任务状态、逐笔同步记录、接口调用日志和处理结果；对同步失败的数据应支持自动重试（不少于3 次）、失败原因记录和人工补传。</x:v>
      </x:c>
      <x:c r="E76" s="4" t="str">
        <x:v>D03</x:v>
      </x:c>
      <x:c r="F76" s="4" t="str">
        <x:v>D03：只读状态接回</x:v>
      </x:c>
      <x:c r="G76" s="4" t="str">
        <x:v>历史审计原文：有attempts字段与最少3次配置入口，但缺worker实际自动重试和逐笔记录源码。</x:v>
      </x:c>
      <x:c r="H76" s="4" t="str">
        <x:v>未作最终验收；详见25组纠偏推进与测试证据</x:v>
      </x:c>
    </x:row>
    <x:row r="77" ht="116" customHeight="1">
      <x:c r="A77" s="12" t="str">
        <x:v>11.5</x:v>
      </x:c>
      <x:c r="B77" s="12" t="str">
        <x:v>湘培直通车平台对接</x:v>
      </x:c>
      <x:c r="C77" s="12" t="str">
        <x:v>7</x:v>
      </x:c>
      <x:c r="D77" s="12" t="str">
        <x:v>项目建设及免费质保期内，因省级平台正常版本升级、字段合理调整或接口小幅变化产生的适配工作，供应商应提供免费技术支持；涉及重大新增接口或超出原采购范围的改造由双方另行确认。</x:v>
      </x:c>
      <x:c r="E77" s="12" t="str">
        <x:v>D25</x:v>
      </x:c>
      <x:c r="F77" s="12" t="str">
        <x:v>D25：仍待外部与实际履约</x:v>
      </x:c>
      <x:c r="G77" s="12" t="str">
        <x:v>历史审计原文：免费适配支持不是一个页面能证明；未取得支持范围/流程/责任承诺。</x:v>
      </x:c>
      <x:c r="H77" s="12" t="str">
        <x:v>未作最终验收；详见25组纠偏推进与测试证据</x:v>
      </x:c>
    </x:row>
    <x:row r="78" ht="116" customHeight="1">
      <x:c r="A78" s="4" t="str">
        <x:v>11.6</x:v>
      </x:c>
      <x:c r="B78" s="4" t="str">
        <x:v>湘培直通车平台对接</x:v>
      </x:c>
      <x:c r="C78" s="4" t="str">
        <x:v>7</x:v>
      </x:c>
      <x:c r="D78" s="4" t="str">
        <x:v>在正式联调前应使用脱敏真实业务数据完成关键报文、字段映射、异常返回和重试机制验证。</x:v>
      </x:c>
      <x:c r="E78" s="4" t="str">
        <x:v>D03,D25</x:v>
      </x:c>
      <x:c r="F78" s="4" t="str">
        <x:v>D03：只读状态接回；D25：仍待外部与实际履约</x:v>
      </x:c>
      <x:c r="G78" s="4" t="str">
        <x:v>历史审计原文：本地自造teacher_no样本不等于省平台真实业务脱敏报文。</x:v>
      </x:c>
      <x:c r="H78" s="4" t="str">
        <x:v>未作最终验收；详见25组纠偏推进与测试证据</x:v>
      </x:c>
    </x:row>
    <x:row r="79" ht="116" customHeight="1">
      <x:c r="A79" s="12" t="str">
        <x:v>11.7</x:v>
      </x:c>
      <x:c r="B79" s="12" t="str">
        <x:v>湘培直通车平台对接</x:v>
      </x:c>
      <x:c r="C79" s="12" t="str">
        <x:v>7</x:v>
      </x:c>
      <x:c r="D79" s="12" t="str">
        <x:v>项目交付时需形成省级平台接口文档、字段映射说明、联调记录、异常处理说明及问题处理清单。</x:v>
      </x:c>
      <x:c r="E79" s="12" t="str">
        <x:v>D03,D24</x:v>
      </x:c>
      <x:c r="F79" s="12" t="str">
        <x:v>D03：只读状态接回；D24：交付施工检查点</x:v>
      </x:c>
      <x:c r="G79" s="12" t="str">
        <x:v>历史审计原文：未取得省平台接口、映射、联调、异常说明和问题清单。</x:v>
      </x:c>
      <x:c r="H79" s="12" t="str">
        <x:v>未作最终验收；详见25组纠偏推进与测试证据</x:v>
      </x:c>
    </x:row>
    <x:row r="80" ht="116" customHeight="1">
      <x:c r="A80" s="4" t="str">
        <x:v>11.8</x:v>
      </x:c>
      <x:c r="B80" s="4" t="str">
        <x:v>湘培直通车平台对接</x:v>
      </x:c>
      <x:c r="C80" s="4" t="str">
        <x:v>7</x:v>
      </x:c>
      <x:c r="D80" s="4" t="str">
        <x:v>对同步失败的数据应支持单条重试、批量重试和人工补传，并保留原失败记录及后续处理结果。</x:v>
      </x:c>
      <x:c r="E80" s="4" t="str">
        <x:v>D03</x:v>
      </x:c>
      <x:c r="F80" s="4" t="str">
        <x:v>D03：只读状态接回</x:v>
      </x:c>
      <x:c r="G80" s="4" t="str">
        <x:v>历史审计原文：看到单任务重试按钮；批量逐笔重试、人工补传及原失败保留机制缺证。</x:v>
      </x:c>
      <x:c r="H80" s="4" t="str">
        <x:v>未作最终验收；详见25组纠偏推进与测试证据</x:v>
      </x:c>
    </x:row>
    <x:row r="81" ht="116" customHeight="1">
      <x:c r="A81" s="12" t="str">
        <x:v>11.9</x:v>
      </x:c>
      <x:c r="B81" s="12" t="str">
        <x:v>湘培直通车平台对接</x:v>
      </x:c>
      <x:c r="C81" s="12" t="str">
        <x:v>7</x:v>
      </x:c>
      <x:c r="D81" s="12" t="str">
        <x:v>对同一业务数据的重复提交应具备必要的重复识别或幂等处理能力，避免因重复调用产生重复业务数据。</x:v>
      </x:c>
      <x:c r="E81" s="12" t="str">
        <x:v>D03,D04</x:v>
      </x:c>
      <x:c r="F81" s="12" t="str">
        <x:v>D03：只读状态接回；D04：未实施</x:v>
      </x:c>
      <x:c r="G81" s="12" t="str">
        <x:v>历史审计原文：有外部键、任务键和请求回执模型；实际省平台业务幂等未见。</x:v>
      </x:c>
      <x:c r="H81" s="12" t="str">
        <x:v>未作最终验收；详见25组纠偏推进与测试证据</x:v>
      </x:c>
    </x:row>
    <x:row r="82" ht="116" customHeight="1">
      <x:c r="A82" s="4" t="str">
        <x:v>12.1</x:v>
      </x:c>
      <x:c r="B82" s="4" t="str">
        <x:v>操作日志、安全审计、消息待办、附件权限</x:v>
      </x:c>
      <x:c r="C82" s="4" t="str">
        <x:v>7</x:v>
      </x:c>
      <x:c r="D82" s="4" t="str">
        <x:v>建立覆盖平台关键业务的操作日志和安全审计机制，对登录、查询、导出、权限调整、资质审核、积分处理、考核审核、接口同步等重要操作进行记录。</x:v>
      </x:c>
      <x:c r="E82" s="4" t="str">
        <x:v>D18</x:v>
      </x:c>
      <x:c r="F82" s="4" t="str">
        <x:v>D18：事务与故障注入回归通过</x:v>
      </x:c>
      <x:c r="G82" s="4" t="str">
        <x:v>历史审计原文：普通访问审计失败会把已成功响应改成503；关键业务审计需确认同事务。</x:v>
      </x:c>
      <x:c r="H82" s="4" t="str">
        <x:v>未作最终验收；详见25组纠偏推进与测试证据</x:v>
      </x:c>
    </x:row>
    <x:row r="83" ht="116" customHeight="1">
      <x:c r="A83" s="12" t="str">
        <x:v>12.2</x:v>
      </x:c>
      <x:c r="B83" s="12" t="str">
        <x:v>操作日志、安全审计、消息待办、附件权限</x:v>
      </x:c>
      <x:c r="C83" s="12" t="str">
        <x:v>7</x:v>
      </x:c>
      <x:c r="D83" s="12" t="str">
        <x:v>日志信息应包括操作用户、所属组织、操作时间、业务模块、业务对象、操作内容、调整前后值（适用时）和处理结果等，并支持按条件查询和问题追踪。</x:v>
      </x:c>
      <x:c r="E83" s="12" t="str">
        <x:v>D18</x:v>
      </x:c>
      <x:c r="F83" s="12" t="str">
        <x:v>D18：事务与故障注入回归通过</x:v>
      </x:c>
      <x:c r="G83" s="12" t="str">
        <x:v>历史审计原文：审计字段结构和查询入口与采购对应；后端筛选、完整性、可追踪性未验证。</x:v>
      </x:c>
      <x:c r="H83" s="12" t="str">
        <x:v>未作最终验收；详见25组纠偏推进与测试证据</x:v>
      </x:c>
    </x:row>
    <x:row r="84" ht="116" customHeight="1">
      <x:c r="A84" s="4" t="str">
        <x:v>12.3</x:v>
      </x:c>
      <x:c r="B84" s="4" t="str">
        <x:v>操作日志、安全审计、消息待办、附件权限</x:v>
      </x:c>
      <x:c r="C84" s="4" t="str">
        <x:v>7</x:v>
      </x:c>
      <x:c r="D84" s="4" t="str">
        <x:v>对异常访问、越权操作、关键配置变更和接口异常等情况形成安全提示或审计记录，为学校内部安全检查和问题排查提供依据。</x:v>
      </x:c>
      <x:c r="E84" s="4" t="str">
        <x:v>D18,D21</x:v>
      </x:c>
      <x:c r="F84" s="4" t="str">
        <x:v>D18：事务与故障注入回归通过；D21：已实现接口安全回归通过</x:v>
      </x:c>
      <x:c r="G84" s="4" t="str">
        <x:v>历史审计原文：有拒绝/异常访问审计路径，配置与外部异常真实产生服务缺证。</x:v>
      </x:c>
      <x:c r="H84" s="4" t="str">
        <x:v>未作最终验收；详见25组纠偏推进与测试证据</x:v>
      </x:c>
    </x:row>
    <x:row r="85" ht="116" customHeight="1">
      <x:c r="A85" s="12" t="str">
        <x:v>12.4</x:v>
      </x:c>
      <x:c r="B85" s="12" t="str">
        <x:v>操作日志、安全审计、消息待办、附件权限</x:v>
      </x:c>
      <x:c r="C85" s="12" t="str">
        <x:v>7</x:v>
      </x:c>
      <x:c r="D85" s="12" t="str">
        <x:v>建设统一消息待办能力，将审核待办、同步异常、资质到期和考核确认等事项集中呈现，并支持跳转至对应业务进行处理。</x:v>
      </x:c>
      <x:c r="E85" s="12" t="str">
        <x:v>D22</x:v>
      </x:c>
      <x:c r="F85" s="12" t="str">
        <x:v>D22：多层证据分开记录</x:v>
      </x:c>
      <x:c r="G85" s="12" t="str">
        <x:v>历史审计原文：统一待办UI与详情函数关联存在；生成、过期、关闭和范围控制未取回。</x:v>
      </x:c>
      <x:c r="H85" s="12" t="str">
        <x:v>未作最终验收；详见25组纠偏推进与测试证据</x:v>
      </x:c>
    </x:row>
    <x:row r="86" ht="116" customHeight="1">
      <x:c r="A86" s="4" t="str">
        <x:v>12.5</x:v>
      </x:c>
      <x:c r="B86" s="4" t="str">
        <x:v>操作日志、安全审计、消息待办、附件权限</x:v>
      </x:c>
      <x:c r="C86" s="4" t="str">
        <x:v>7</x:v>
      </x:c>
      <x:c r="D86" s="4" t="str">
        <x:v>教师资质材料、考核材料和同步佐证材料等附件需与业务对象和用户权限绑定，对文件查看、下载等行为进行权限校验并保留必要审计记录。</x:v>
      </x:c>
      <x:c r="E86" s="4" t="str">
        <x:v>D21</x:v>
      </x:c>
      <x:c r="F86" s="4" t="str">
        <x:v>D21：已实现接口安全回归通过</x:v>
      </x:c>
      <x:c r="G86" s="4" t="str">
        <x:v>历史审计原文：仅见资质/核对材料上传入口；考核/同步佐证绑定与下载权限代码未取得。</x:v>
      </x:c>
      <x:c r="H86" s="4" t="str">
        <x:v>未作最终验收；详见25组纠偏推进与测试证据</x:v>
      </x:c>
    </x:row>
    <x:row r="87" ht="116" customHeight="1">
      <x:c r="A87" s="12" t="str">
        <x:v>12.6</x:v>
      </x:c>
      <x:c r="B87" s="12" t="str">
        <x:v>操作日志、安全审计、消息待办、附件权限</x:v>
      </x:c>
      <x:c r="C87" s="12" t="str">
        <x:v>7</x:v>
      </x:c>
      <x:c r="D87" s="12" t="str">
        <x:v>对涉及教师身份、联系方式、证书材料等敏感信息，应结合用户角色和数据权限进行脱敏展示或访问限制。</x:v>
      </x:c>
      <x:c r="E87" s="12" t="str">
        <x:v>D21</x:v>
      </x:c>
      <x:c r="F87" s="12" t="str">
        <x:v>D21：已实现接口安全回归通过</x:v>
      </x:c>
      <x:c r="G87" s="12" t="str">
        <x:v>历史审计原文：未取得后端敏感字段序列化与权限过滤；不能因前端有esc就断言已脱敏。</x:v>
      </x:c>
      <x:c r="H87" s="12" t="str">
        <x:v>未作最终验收；详见25组纠偏推进与测试证据</x:v>
      </x:c>
    </x:row>
    <x:row r="88" ht="116" customHeight="1">
      <x:c r="A88" s="4" t="str">
        <x:v>13.1</x:v>
      </x:c>
      <x:c r="B88" s="4" t="str">
        <x:v>安全保障与部署上线</x:v>
      </x:c>
      <x:c r="C88" s="4" t="str">
        <x:v>7</x:v>
      </x:c>
      <x:c r="D88" s="4" t="str">
        <x:v>平台采用B/S 架构和前后端分离模式，满足PC 端访问要求，系统设计需兼顾模块化、组件化、配置化和接口化，便于后续业务扩展、规则调整和外部接口适配。</x:v>
      </x:c>
      <x:c r="E88" s="4" t="str">
        <x:v>D01</x:v>
      </x:c>
      <x:c r="F88" s="4" t="str">
        <x:v>D01：运行核心已接回，部署仍阻断</x:v>
      </x:c>
      <x:c r="G88" s="4" t="str">
        <x:v>历史审计原文：B/S、前后端独立容器方向对齐；正式工程依赖与后端模块缺失，不能独立运行证明。</x:v>
      </x:c>
      <x:c r="H88" s="4" t="str">
        <x:v>未作最终验收；详见25组纠偏推进与测试证据</x:v>
      </x:c>
    </x:row>
    <x:row r="89" ht="116" customHeight="1">
      <x:c r="A89" s="12" t="str">
        <x:v>13.2</x:v>
      </x:c>
      <x:c r="B89" s="12" t="str">
        <x:v>安全保障与部署上线</x:v>
      </x:c>
      <x:c r="C89" s="12" t="str">
        <x:v>7,8</x:v>
      </x:c>
      <x:c r="D89" s="12" t="str">
        <x:v>平台部署在学校指定服务器、虚拟化资源或私有云环境，包含前端服务、后端服务、数据库服务、文件存储服务、接口网络访问和日志存储等运行能力。</x:v>
      </x:c>
      <x:c r="E89" s="12" t="str">
        <x:v>D01,D19,D20</x:v>
      </x:c>
      <x:c r="F89" s="12" t="str">
        <x:v>D01：运行核心已接回，部署仍阻断；D19：保留R1编排，worker待补；D20：保留R1编排回归</x:v>
      </x:c>
      <x:c r="G89" s="12" t="str">
        <x:v>历史审计原文：配置有数据库/文件/服务；维护锁不贯穿升级，关键辅助文件缺失；API/worker仅见internal网络。</x:v>
      </x:c>
      <x:c r="H89" s="12" t="str">
        <x:v>未作最终验收；详见25组纠偏推进与测试证据</x:v>
      </x:c>
    </x:row>
    <x:row r="90" ht="116" customHeight="1">
      <x:c r="A90" s="4" t="str">
        <x:v>13.3</x:v>
      </x:c>
      <x:c r="B90" s="4" t="str">
        <x:v>安全保障与部署上线</x:v>
      </x:c>
      <x:c r="C90" s="4" t="str">
        <x:v>8</x:v>
      </x:c>
      <x:c r="D90" s="4" t="str">
        <x:v>接口安全需结合学校现有环境采用令牌、签名、时间戳、防重放、参数校验和接口日志等机制，保障统一认证、数据中台和湘培直通车接口调用安全。</x:v>
      </x:c>
      <x:c r="E90" s="4" t="str">
        <x:v>D03,D21</x:v>
      </x:c>
      <x:c r="F90" s="4" t="str">
        <x:v>D03：只读状态接回；D21：已实现接口安全回归通过</x:v>
      </x:c>
      <x:c r="G90" s="4" t="str">
        <x:v>历史审计原文：本地会话、密钥变量占位不等于外部令牌/签名/时间戳/防重放实现。</x:v>
      </x:c>
      <x:c r="H90" s="4" t="str">
        <x:v>未作最终验收；详见25组纠偏推进与测试证据</x:v>
      </x:c>
    </x:row>
    <x:row r="91" ht="116" customHeight="1">
      <x:c r="A91" s="12" t="str">
        <x:v>13.4</x:v>
      </x:c>
      <x:c r="B91" s="12" t="str">
        <x:v>安全保障与部署上线</x:v>
      </x:c>
      <x:c r="C91" s="12" t="str">
        <x:v>8</x:v>
      </x:c>
      <x:c r="D91" s="12" t="str">
        <x:v>上线前需完成组织机构、角色权限、字典项、考核周期、系统参数、管理员账号和接口参数初始化，并完成统一认证、数据中台、湘培直通车的连通性验证及字段映射确认。</x:v>
      </x:c>
      <x:c r="E91" s="12" t="str">
        <x:v>D01,D17</x:v>
      </x:c>
      <x:c r="F91" s="12" t="str">
        <x:v>D01：运行核心已接回，部署仍阻断；D17：就绪阻断保持有效</x:v>
      </x:c>
      <x:c r="G91" s="12" t="str">
        <x:v>历史审计原文：关键初始化记录为空仍返回ok；仅能看到迁移head要求字符串，实际迁移文件缺失。</x:v>
      </x:c>
      <x:c r="H91" s="12" t="str">
        <x:v>未作最终验收；详见25组纠偏推进与测试证据</x:v>
      </x:c>
    </x:row>
    <x:row r="92" ht="116" customHeight="1">
      <x:c r="A92" s="4" t="str">
        <x:v>13.5</x:v>
      </x:c>
      <x:c r="B92" s="4" t="str">
        <x:v>安全保障与部署上线</x:v>
      </x:c>
      <x:c r="C92" s="4" t="str">
        <x:v>8</x:v>
      </x:c>
      <x:c r="D92" s="4" t="str">
        <x:v>上线前需完成主要功能、四级权限、接口同步、积分计算、三级考核和异常场景测试，并使用脱敏真实数据完成关键业务验证。</x:v>
      </x:c>
      <x:c r="E92" s="4" t="str">
        <x:v>D21,D22</x:v>
      </x:c>
      <x:c r="F92" s="4" t="str">
        <x:v>D21：已实现接口安全回归通过；D22：多层证据分开记录</x:v>
      </x:c>
      <x:c r="G92" s="4" t="str">
        <x:v>历史审计原文：历史浏览器明确为DOM+localhost API桥接，非原生网络/TLS/cookie验收；本轮只做隔离差异复现。</x:v>
      </x:c>
      <x:c r="H92" s="4" t="str">
        <x:v>未作最终验收；详见25组纠偏推进与测试证据</x:v>
      </x:c>
    </x:row>
    <x:row r="93" ht="116" customHeight="1">
      <x:c r="A93" s="12" t="str">
        <x:v>13.6</x:v>
      </x:c>
      <x:c r="B93" s="12" t="str">
        <x:v>安全保障与部署上线</x:v>
      </x:c>
      <x:c r="C93" s="12" t="str">
        <x:v>8</x:v>
      </x:c>
      <x:c r="D93" s="12" t="str">
        <x:v>项目交付需提供可独立部署运行的系统版本、数据库脚本、部署配置、接口文档、数据字典、测试报告、用户手册、试运行记录、问题整改清单和验收材料。</x:v>
      </x:c>
      <x:c r="E93" s="12" t="str">
        <x:v>D01,D24</x:v>
      </x:c>
      <x:c r="F93" s="12" t="str">
        <x:v>D01：运行核心已接回，部署仍阻断；D24：交付施工检查点</x:v>
      </x:c>
      <x:c r="G93" s="12" t="str">
        <x:v>历史审计原文：未取得可独立运行完整源码、迁移、依赖、测试和交付文档；旧施工表不能证明新实现。</x:v>
      </x:c>
      <x:c r="H93" s="12" t="str">
        <x:v>未作最终验收；详见25组纠偏推进与测试证据</x:v>
      </x:c>
    </x:row>
    <x:row r="94" ht="116" customHeight="1">
      <x:c r="A94" s="4" t="str">
        <x:v>13.7</x:v>
      </x:c>
      <x:c r="B94" s="4" t="str">
        <x:v>安全保障与部署上线</x:v>
      </x:c>
      <x:c r="C94" s="4" t="str">
        <x:v>8</x:v>
      </x:c>
      <x:c r="D94" s="4" t="str">
        <x:v>在学校网络和服务器资源正常的条件下，普通业务页面响应时间原则上不超过3 秒，复杂统计分析页面响应时间原则上不超过5 秒。</x:v>
      </x:c>
      <x:c r="E94" s="4" t="str">
        <x:v>D22</x:v>
      </x:c>
      <x:c r="F94" s="4" t="str">
        <x:v>D22：多层证据分开记录</x:v>
      </x:c>
      <x:c r="G94" s="4" t="str">
        <x:v>历史审计原文：运维页显示的是采购阈值，不是实测；无同版可复验页面耗时报告。</x:v>
      </x:c>
      <x:c r="H94" s="4" t="str">
        <x:v>未作最终验收；详见25组纠偏推进与测试证据</x:v>
      </x:c>
    </x:row>
    <x:row r="95" ht="116" customHeight="1">
      <x:c r="A95" s="12" t="str">
        <x:v>13.8</x:v>
      </x:c>
      <x:c r="B95" s="12" t="str">
        <x:v>安全保障与部署上线</x:v>
      </x:c>
      <x:c r="C95" s="12" t="str">
        <x:v>8</x:v>
      </x:c>
      <x:c r="D95" s="12" t="str">
        <x:v>系统可支持3000 人同时在线使用的，应满足不少于100 个并发用户正常访问的使用需求，在规定并发条件下主要业务功能应稳定可用。</x:v>
      </x:c>
      <x:c r="E95" s="12" t="str">
        <x:v>D22</x:v>
      </x:c>
      <x:c r="F95" s="12" t="str">
        <x:v>D22：多层证据分开记录</x:v>
      </x:c>
      <x:c r="G95" s="12" t="str">
        <x:v>历史审计原文：PDF在线与并发条款保留原文；会话名单/几次请求不能证明3000在线及≥100并发可用。</x:v>
      </x:c>
      <x:c r="H95" s="12" t="str">
        <x:v>未作最终验收；详见25组纠偏推进与测试证据</x:v>
      </x:c>
    </x:row>
    <x:row r="96" ht="116" customHeight="1">
      <x:c r="A96" s="4" t="str">
        <x:v>14.1</x:v>
      </x:c>
      <x:c r="B96" s="4" t="str">
        <x:v>售后服务与运维保障</x:v>
      </x:c>
      <x:c r="C96" s="4" t="str">
        <x:v>8</x:v>
      </x:c>
      <x:c r="D96" s="4" t="str">
        <x:v>免费质保期不少于1 年，自项目最终验收合格之日起计算。</x:v>
      </x:c>
      <x:c r="E96" s="4" t="str">
        <x:v>D25</x:v>
      </x:c>
      <x:c r="F96" s="4" t="str">
        <x:v>D25：仍待外部与实际履约</x:v>
      </x:c>
      <x:c r="G96" s="4" t="str">
        <x:v>历史审计原文：免费质保至少1年且自最终验收日起计；未取得服务承诺凭据。</x:v>
      </x:c>
      <x:c r="H96" s="4" t="str">
        <x:v>未作最终验收；详见25组纠偏推进与测试证据</x:v>
      </x:c>
    </x:row>
    <x:row r="97" ht="116" customHeight="1">
      <x:c r="A97" s="12" t="str">
        <x:v>14.2</x:v>
      </x:c>
      <x:c r="B97" s="12" t="str">
        <x:v>售后服务与运维保障</x:v>
      </x:c>
      <x:c r="C97" s="12" t="str">
        <x:v>8</x:v>
      </x:c>
      <x:c r="D97" s="12" t="str">
        <x:v>严重故障30 分钟内响应、2 小时内提供处置方案；一般功能故障2 小时内响应；普通咨询及配置问题1个工作日内响应。</x:v>
      </x:c>
      <x:c r="E97" s="12" t="str">
        <x:v>D25</x:v>
      </x:c>
      <x:c r="F97" s="12" t="str">
        <x:v>D25：仍待外部与实际履约</x:v>
      </x:c>
      <x:c r="G97" s="12" t="str">
        <x:v>历史审计原文：分级响应要求是实际服务能力，不是软件菜单或自动提醒即可满足。</x:v>
      </x:c>
      <x:c r="H97" s="12" t="str">
        <x:v>未作最终验收；详见25组纠偏推进与测试证据</x:v>
      </x:c>
    </x:row>
    <x:row r="98" ht="116" customHeight="1">
      <x:c r="A98" s="4" t="str">
        <x:v>14.3</x:v>
      </x:c>
      <x:c r="B98" s="4" t="str">
        <x:v>售后服务与运维保障</x:v>
      </x:c>
      <x:c r="C98" s="4" t="str">
        <x:v>8</x:v>
      </x:c>
      <x:c r="D98" s="4" t="str">
        <x:v>质保期内，学校组织机构、考核规则、统计口径及已对接接口的合理小幅调整，供应商应免费提供配置、映射和适配支持；重大新增功能或新增系统接入另行确认。</x:v>
      </x:c>
      <x:c r="E98" s="4" t="str">
        <x:v>D25</x:v>
      </x:c>
      <x:c r="F98" s="4" t="str">
        <x:v>D25：仍待外部与实际履约</x:v>
      </x:c>
      <x:c r="G98" s="4" t="str">
        <x:v>历史审计原文：合理小幅调整需要可配置实现加维护服务；不能以配置页存在视为已履约。</x:v>
      </x:c>
      <x:c r="H98" s="4" t="str">
        <x:v>未作最终验收；详见25组纠偏推进与测试证据</x:v>
      </x:c>
    </x:row>
    <x:row r="99" ht="116" customHeight="1">
      <x:c r="A99" s="12" t="str">
        <x:v>14.4</x:v>
      </x:c>
      <x:c r="B99" s="12" t="str">
        <x:v>售后服务与运维保障</x:v>
      </x:c>
      <x:c r="C99" s="12" t="str">
        <x:v>8</x:v>
      </x:c>
      <x:c r="D99" s="12" t="str">
        <x:v>质保期后年度运维服务费原则上不高于本项目合同金额的10%（不含重大新增功能开发及第三方商业软件新增授权费用）。</x:v>
      </x:c>
      <x:c r="E99" s="12" t="str">
        <x:v>D25</x:v>
      </x:c>
      <x:c r="F99" s="12" t="str">
        <x:v>D25：仍待外部与实际履约</x:v>
      </x:c>
      <x:c r="G99" s="12" t="str">
        <x:v>历史审计原文：年度运维费用原则上不高于合同金额10%的条款属于采购商务条件。</x:v>
      </x:c>
      <x:c r="H99" s="12" t="str">
        <x:v>未作最终验收；详见25组纠偏推进与测试证据</x:v>
      </x:c>
    </x:row>
    <x:row r="100" ht="116" customHeight="1">
      <x:c r="A100" s="4" t="str">
        <x:v>14.5</x:v>
      </x:c>
      <x:c r="B100" s="4" t="str">
        <x:v>售后服务与运维保障</x:v>
      </x:c>
      <x:c r="C100" s="4" t="str">
        <x:v>8</x:v>
      </x:c>
      <x:c r="D100" s="4" t="str">
        <x:v>学校业务数据、数据字典、字段映射、数据库结构、接口文档及学校专属业务配置归采购人所有；本项目定制开发形成的源代码应交付采购人或纳入采购人可控制的代码托管机制。</x:v>
      </x:c>
      <x:c r="E100" s="4" t="str">
        <x:v>D01,D24</x:v>
      </x:c>
      <x:c r="F100" s="4" t="str">
        <x:v>D01：运行核心已接回，部署仍阻断；D24：交付施工检查点</x:v>
      </x:c>
      <x:c r="G100" s="4" t="str">
        <x:v>历史审计原文：尚无完整源码交付与学校专属配置/映射/数据库结构的可核验移交包。</x:v>
      </x:c>
      <x:c r="H100" s="4" t="str">
        <x:v>未作最终验收；详见25组纠偏推进与测试证据</x:v>
      </x:c>
    </x:row>
    <x:row r="101" ht="116" customHeight="1">
      <x:c r="A101" s="12" t="str">
        <x:v>14.6</x:v>
      </x:c>
      <x:c r="B101" s="12" t="str">
        <x:v>售后服务与运维保障</x:v>
      </x:c>
      <x:c r="C101" s="12" t="str">
        <x:v>9</x:v>
      </x:c>
      <x:c r="D101" s="12" t="str">
        <x:v>系统应支持完整、结构化、可复用的数据导出；合同终止或更换供应商时，应配合完成数据、数据库结构、接口文档、部署配置及规则配置等资料移交，不得以专有格式、加密字段或封闭接口限制数据迁移。</x:v>
      </x:c>
      <x:c r="E101" s="12" t="str">
        <x:v>D24</x:v>
      </x:c>
      <x:c r="F101" s="12" t="str">
        <x:v>D24：交付施工检查点</x:v>
      </x:c>
      <x:c r="G101" s="12" t="str">
        <x:v>历史审计原文：有开放格式移交入口且区分灾备备份；实际导出生成器/结构与附件清单未取回。</x:v>
      </x:c>
      <x:c r="H101" s="12" t="str">
        <x:v>未作最终验收；详见25组纠偏推进与测试证据</x:v>
      </x:c>
    </x:row>
    <x:row r="102" ht="116" customHeight="1">
      <x:c r="A102" s="4" t="str">
        <x:v>14.7</x:v>
      </x:c>
      <x:c r="B102" s="4" t="str">
        <x:v>售后服务与运维保障</x:v>
      </x:c>
      <x:c r="C102" s="4" t="str">
        <x:v>9</x:v>
      </x:c>
      <x:c r="D102" s="4" t="str">
        <x:v>提供管理员和经办人员培训，并提供用户操作手册及必要的运维说明。</x:v>
      </x:c>
      <x:c r="E102" s="4" t="str">
        <x:v>D24,D25</x:v>
      </x:c>
      <x:c r="F102" s="4" t="str">
        <x:v>D24：交付施工检查点；D25：仍待外部与实际履约</x:v>
      </x:c>
      <x:c r="G102" s="4" t="str">
        <x:v>历史审计原文：仅有简短角色指引和FAQ，不是完整管理员/经办人培训与运维手册证据。</x:v>
      </x:c>
      <x:c r="H102" s="4" t="str">
        <x:v>未作最终验收；详见25组纠偏推进与测试证据</x:v>
      </x:c>
    </x:row>
  </x:sheetData>
  <x:pageMargins left="0.7" right="0.7" top="0.75" bottom="0.75" header="0.3" footer="0.3"/>
  <x:tableParts count="1">
    <x:tablePart xmlns:r="http://schemas.openxmlformats.org/officeDocument/2006/relationships" r:id="R586be6e30efc4a68"/>
  </x:tableParts>
</x:worksheet>
</file>

<file path=xl/worksheets/sheet5.xml><?xml version="1.0" encoding="utf-8"?>
<x:worksheet xmlns:x="http://schemas.openxmlformats.org/spreadsheetml/2006/main">
  <x:sheetFormatPr defaultRowHeight="15"/>
  <x:cols>
    <x:col min="1" max="1" width="9" hidden="0" customWidth="1"/>
    <x:col min="2" max="2" width="51" hidden="0" customWidth="1"/>
    <x:col min="3" max="3" width="28" hidden="0" customWidth="1"/>
    <x:col min="4" max="4" width="48" hidden="0" customWidth="1"/>
    <x:col min="5" max="5" width="47" hidden="0" customWidth="1"/>
  </x:cols>
  <x:sheetData>
    <x:row r="1" ht="32" customHeight="1">
      <x:c r="A1" s="9" t="str">
        <x:v>编号</x:v>
      </x:c>
      <x:c r="B1" s="9" t="str">
        <x:v>待补文件或验收项</x:v>
      </x:c>
      <x:c r="C1" s="9" t="str">
        <x:v>状态</x:v>
      </x:c>
      <x:c r="D1" s="9" t="str">
        <x:v>实际缺口</x:v>
      </x:c>
      <x:c r="E1" s="9" t="str">
        <x:v>禁止误判</x:v>
      </x:c>
    </x:row>
    <x:row r="2" ht="60" customHeight="1">
      <x:c r="A2" s="4" t="str">
        <x:v>M01</x:v>
      </x:c>
      <x:c r="B2" s="4" t="str">
        <x:v>backend/app/worker.py</x:v>
      </x:c>
      <x:c r="C2" s="4" t="str">
        <x:v>MISSING</x:v>
      </x:c>
      <x:c r="D2" s="4" t="str">
        <x:v>仍需实际可执行代码</x:v>
      </x:c>
      <x:c r="E2" s="4" t="str">
        <x:v>不是放一个空文件让齐套检查通过</x:v>
      </x:c>
    </x:row>
    <x:row r="3" ht="60" customHeight="1">
      <x:c r="A3" s="12" t="str">
        <x:v>M02</x:v>
      </x:c>
      <x:c r="B3" s="12" t="str">
        <x:v>backend/app/healthcheck.py</x:v>
      </x:c>
      <x:c r="C3" s="12" t="str">
        <x:v>MISSING</x:v>
      </x:c>
      <x:c r="D3" s="12" t="str">
        <x:v>仍需实际可执行代码</x:v>
      </x:c>
      <x:c r="E3" s="12" t="str">
        <x:v>不是放一个空文件让齐套检查通过</x:v>
      </x:c>
    </x:row>
    <x:row r="4" ht="60" customHeight="1">
      <x:c r="A4" s="4" t="str">
        <x:v>M03</x:v>
      </x:c>
      <x:c r="B4" s="4" t="str">
        <x:v>backend/app/cli.py</x:v>
      </x:c>
      <x:c r="C4" s="4" t="str">
        <x:v>MISSING</x:v>
      </x:c>
      <x:c r="D4" s="4" t="str">
        <x:v>仍需实际可执行代码</x:v>
      </x:c>
      <x:c r="E4" s="4" t="str">
        <x:v>不是放一个空文件让齐套检查通过</x:v>
      </x:c>
    </x:row>
    <x:row r="5" ht="60" customHeight="1">
      <x:c r="A5" s="12" t="str">
        <x:v>M04</x:v>
      </x:c>
      <x:c r="B5" s="12" t="str">
        <x:v>backend/app/grants.py</x:v>
      </x:c>
      <x:c r="C5" s="12" t="str">
        <x:v>MISSING</x:v>
      </x:c>
      <x:c r="D5" s="12" t="str">
        <x:v>仍需实际可执行代码</x:v>
      </x:c>
      <x:c r="E5" s="12" t="str">
        <x:v>不是放一个空文件让齐套检查通过</x:v>
      </x:c>
    </x:row>
    <x:row r="6" ht="60" customHeight="1">
      <x:c r="A6" s="4" t="str">
        <x:v>M05</x:v>
      </x:c>
      <x:c r="B6" s="4" t="str">
        <x:v>backend/app/maintenance.py</x:v>
      </x:c>
      <x:c r="C6" s="4" t="str">
        <x:v>MISSING</x:v>
      </x:c>
      <x:c r="D6" s="4" t="str">
        <x:v>仍需实际可执行代码</x:v>
      </x:c>
      <x:c r="E6" s="4" t="str">
        <x:v>不是放一个空文件让齐套检查通过</x:v>
      </x:c>
    </x:row>
    <x:row r="7" ht="60" customHeight="1">
      <x:c r="A7" s="12" t="str">
        <x:v>M06</x:v>
      </x:c>
      <x:c r="B7" s="12" t="str">
        <x:v>deploy/Dockerfile.api</x:v>
      </x:c>
      <x:c r="C7" s="12" t="str">
        <x:v>MISSING</x:v>
      </x:c>
      <x:c r="D7" s="12" t="str">
        <x:v>仍需实际可执行代码</x:v>
      </x:c>
      <x:c r="E7" s="12" t="str">
        <x:v>不是放一个空文件让齐套检查通过</x:v>
      </x:c>
    </x:row>
    <x:row r="8" ht="60" customHeight="1">
      <x:c r="A8" s="4" t="str">
        <x:v>M07</x:v>
      </x:c>
      <x:c r="B8" s="4" t="str">
        <x:v>deploy/Dockerfile.frontend</x:v>
      </x:c>
      <x:c r="C8" s="4" t="str">
        <x:v>MISSING</x:v>
      </x:c>
      <x:c r="D8" s="4" t="str">
        <x:v>仍需实际可执行代码</x:v>
      </x:c>
      <x:c r="E8" s="4" t="str">
        <x:v>不是放一个空文件让齐套检查通过</x:v>
      </x:c>
    </x:row>
    <x:row r="9" ht="60" customHeight="1">
      <x:c r="A9" s="12" t="str">
        <x:v>M08</x:v>
      </x:c>
      <x:c r="B9" s="12" t="str">
        <x:v>deploy/mysql-init/01-users.sh</x:v>
      </x:c>
      <x:c r="C9" s="12" t="str">
        <x:v>MISSING</x:v>
      </x:c>
      <x:c r="D9" s="12" t="str">
        <x:v>仍需实际可执行代码</x:v>
      </x:c>
      <x:c r="E9" s="12" t="str">
        <x:v>不是放一个空文件让齐套检查通过</x:v>
      </x:c>
    </x:row>
    <x:row r="10" ht="60" customHeight="1">
      <x:c r="A10" s="4" t="str">
        <x:v>M09</x:v>
      </x:c>
      <x:c r="B10" s="4" t="str">
        <x:v>原Alembic迁移图/alembic.ini/env.py</x:v>
      </x:c>
      <x:c r="C10" s="4" t="str">
        <x:v>MISSING</x:v>
      </x:c>
      <x:c r="D10" s="4" t="str">
        <x:v>实际head为空；继承期望20260917_0001</x:v>
      </x:c>
      <x:c r="E10" s="4" t="str">
        <x:v>禁止伪造原迁移或直接reset</x:v>
      </x:c>
    </x:row>
    <x:row r="11" ht="60" customHeight="1">
      <x:c r="A11" s="12" t="str">
        <x:v>G01</x:v>
      </x:c>
      <x:c r="B11" s="12" t="str">
        <x:v>Excel导入/导出执行器</x:v>
      </x:c>
      <x:c r="C11" s="12" t="str">
        <x:v>NOT_IMPLEMENTED</x:v>
      </x:c>
      <x:c r="D11" s="12" t="str">
        <x:v>模板、预览、错误行、事务确认、后台导出</x:v>
      </x:c>
      <x:c r="E11" s="12" t="str">
        <x:v>原UI与Import模型保留；不返回假成功</x:v>
      </x:c>
    </x:row>
    <x:row r="12" ht="60" customHeight="1">
      <x:c r="A12" s="4" t="str">
        <x:v>G02</x:v>
      </x:c>
      <x:c r="B12" s="4" t="str">
        <x:v>独立组织考核</x:v>
      </x:c>
      <x:c r="C12" s="4" t="str">
        <x:v>NOT_IMPLEMENTED</x:v>
      </x:c>
      <x:c r="D12" s="4" t="str">
        <x:v>学校/学院/教研室对象、规则、证据、流程</x:v>
      </x:c>
      <x:c r="E12" s="4" t="str">
        <x:v>本轮只接教师考核链，不混淆对象</x:v>
      </x:c>
    </x:row>
    <x:row r="13" ht="60" customHeight="1">
      <x:c r="A13" s="12" t="str">
        <x:v>G03</x:v>
      </x:c>
      <x:c r="B13" s="12" t="str">
        <x:v>SSO/中台/湘培适配与worker</x:v>
      </x:c>
      <x:c r="C13" s="12" t="str">
        <x:v>NOT_IMPLEMENTED</x:v>
      </x:c>
      <x:c r="D13" s="12" t="str">
        <x:v>内部适配、全部数据类型、重试/幂等</x:v>
      </x:c>
      <x:c r="E13" s="12" t="str">
        <x:v>连接仍NOT_CONNECTED；现场条件另列</x:v>
      </x:c>
    </x:row>
    <x:row r="14" ht="60" customHeight="1">
      <x:c r="A14" s="4" t="str">
        <x:v>G04</x:v>
      </x:c>
      <x:c r="B14" s="4" t="str">
        <x:v>历史密码与学校实际规则</x:v>
      </x:c>
      <x:c r="C14" s="4" t="str">
        <x:v>NEEDS_CONFIRMATION</x:v>
      </x:c>
      <x:c r="D14" s="4" t="str">
        <x:v>旧哈希格式、收入/人次/周期/公式</x:v>
      </x:c>
      <x:c r="E14" s="4" t="str">
        <x:v>不擅自覆盖原密码或改成统一学校标准</x:v>
      </x:c>
    </x:row>
    <x:row r="15" ht="60" customHeight="1">
      <x:c r="A15" s="12" t="str">
        <x:v>G05</x:v>
      </x:c>
      <x:c r="B15" s="12" t="str">
        <x:v>浏览器网络策略</x:v>
      </x:c>
      <x:c r="C15" s="12" t="str">
        <x:v>BLOCKED_ENVIRONMENT</x:v>
      </x:c>
      <x:c r="D15" s="12" t="str">
        <x:v>ERR_BLOCKED_BY_ADMINISTRATOR</x:v>
      </x:c>
      <x:c r="E15" s="12" t="str">
        <x:v>没有改策略，没有API桥接冒充浏览器成功</x:v>
      </x:c>
    </x:row>
    <x:row r="16" ht="60" customHeight="1">
      <x:c r="A16" s="4" t="str">
        <x:v>G06</x:v>
      </x:c>
      <x:c r="B16" s="4" t="str">
        <x:v>MySQL、机房性能、真实样本</x:v>
      </x:c>
      <x:c r="C16" s="4" t="str">
        <x:v>WAITING_VALIDATION</x:v>
      </x:c>
      <x:c r="D16" s="4" t="str">
        <x:v>按采购规定环境和真实样本验证</x:v>
      </x:c>
      <x:c r="E16" s="4" t="str">
        <x:v>模块/HTTP合成样本不等于正式验收</x:v>
      </x:c>
    </x:row>
  </x:sheetData>
  <x:pageMargins left="0.7" right="0.7" top="0.75" bottom="0.75" header="0.3" footer="0.3"/>
  <x:tableParts count="1">
    <x:tablePart xmlns:r="http://schemas.openxmlformats.org/officeDocument/2006/relationships" r:id="Rccb34cc99b7340b0"/>
  </x:tableParts>
</x:worksheet>
</file>