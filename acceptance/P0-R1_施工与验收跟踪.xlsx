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6585b3b80443c5" /></Relationships>
</file>

<file path=xl/workbook.xml><?xml version="1.0" encoding="utf-8"?>
<x:workbook xmlns:x="http://schemas.openxmlformats.org/spreadsheetml/2006/main">
  <x:sheets>
    <x:sheet xmlns:r="http://schemas.openxmlformats.org/officeDocument/2006/relationships" name="本轮结论" sheetId="1" r:id="R470ade39f3e74fc8"/>
    <x:sheet xmlns:r="http://schemas.openxmlformats.org/officeDocument/2006/relationships" name="25组差异跟踪" sheetId="2" r:id="R48ea2d0655914f3d"/>
    <x:sheet xmlns:r="http://schemas.openxmlformats.org/officeDocument/2006/relationships" name="101条采购对应" sheetId="3" r:id="Rdf9928f96ab948a0"/>
    <x:sheet xmlns:r="http://schemas.openxmlformats.org/officeDocument/2006/relationships" name="模块测试" sheetId="4" r:id="Rf7920cf45ecf47bb"/>
    <x:sheet xmlns:r="http://schemas.openxmlformats.org/officeDocument/2006/relationships" name="源码缺件" sheetId="5" r:id="R0c535482af354ee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name val="Arial"/>
    </x:font>
    <x:font>
      <x:b/>
      <x:sz val="10"/>
      <x:color rgb="FFFFFFFF"/>
      <x:name val="Arial"/>
    </x:font>
    <x:font>
      <x:sz val="10"/>
      <x:color rgb="FF8A4B00"/>
      <x:name val="Arial"/>
    </x:font>
    <x:font>
      <x:sz val="11"/>
      <x:name val="Arial"/>
    </x:font>
    <x:font>
      <x:b/>
      <x:sz val="17"/>
      <x:color rgb="FFFFFFFF"/>
      <x:name val="Arial"/>
    </x:font>
    <x:font>
      <x:b/>
      <x:sz val="11"/>
      <x:color rgb="FF8A4B00"/>
      <x:name val="Arial"/>
    </x:font>
    <x:font>
      <x:b/>
      <x:sz val="26"/>
      <x:color rgb="FF136F63"/>
      <x:name val="Arial"/>
    </x:font>
    <x:font>
      <x:sz val="10"/>
      <x:color rgb="FF445566"/>
      <x:name val="Arial"/>
    </x:font>
  </x:fonts>
  <x:fills count="6">
    <x:fill>
      <x:patternFill patternType="none"/>
    </x:fill>
    <x:fill>
      <x:patternFill patternType="gray125"/>
    </x:fill>
    <x:fill>
      <x:patternFill patternType="solid">
        <x:fgColor rgb="FF16324F"/>
      </x:patternFill>
    </x:fill>
    <x:fill>
      <x:patternFill patternType="solid">
        <x:fgColor rgb="FFFFF4DC"/>
      </x:patternFill>
    </x:fill>
    <x:fill>
      <x:patternFill patternType="solid">
        <x:fgColor rgb="FFEFF7F5"/>
      </x:patternFill>
    </x:fill>
    <x:fill>
      <x:patternFill patternType="solid">
        <x:fgColor rgb="FFEEF2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7" fillId="4" borderId="0" xfId="0" applyNumberFormat="1" applyFont="1" applyFill="1" applyBorder="1" applyAlignment="1">
      <x:alignment horizontal="center" vertical="center" wrapText="1"/>
    </x:xf>
    <x:xf numFmtId="0" fontId="4" fillId="4" borderId="1" xfId="0" applyNumberFormat="1" applyFont="1" applyFill="1" applyBorder="1" applyAlignment="1">
      <x:alignment vertical="center" wrapText="1"/>
    </x:xf>
    <x:xf numFmtId="0" fontId="7" fillId="4" borderId="1" xfId="0" applyNumberFormat="1" applyFont="1" applyFill="1" applyBorder="1" applyAlignment="1">
      <x:alignment vertical="center" wrapText="1"/>
    </x:xf>
    <x:xf numFmtId="0" fontId="7" fillId="4" borderId="1" xfId="0" applyNumberFormat="1" applyFont="1" applyFill="1" applyBorder="1" applyAlignment="1">
      <x:alignment horizontal="center" vertical="center" wrapText="1"/>
    </x:xf>
    <x:xf numFmtId="0" fontId="4" fillId="5" borderId="0" xfId="0" applyNumberFormat="1" applyFont="1" applyFill="1" applyBorder="1" applyAlignment="1">
      <x:alignment vertical="center" wrapText="1"/>
    </x:xf>
    <x:xf numFmtId="0" fontId="8" fillId="5" borderId="0" xfId="0" applyNumberFormat="1" applyFont="1" applyFill="1" applyBorder="1" applyAlignment="1">
      <x:alignment vertical="center" wrapText="1"/>
    </x:xf>
  </x:cellXfs>
  <x:cellStyles count="1">
    <x:cellStyle name="Normal" xfId="0"/>
  </x:cellStyles>
  <x:dxfs count="1">
    <x:dxf>
      <x:font>
        <x:b/>
        <x:color rgb="FF136F63"/>
      </x:font>
      <x:fill>
        <x:patternFill patternType="solid">
          <x:bgColor rgb="FFDDF1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254e13734742f4" /><Relationship Type="http://schemas.openxmlformats.org/officeDocument/2006/relationships/theme" Target="/xl/theme/theme1.xml" Id="R2399a4acea2e479a" /><Relationship Type="http://schemas.openxmlformats.org/officeDocument/2006/relationships/sharedStrings" Target="/xl/sharedStrings.xml" Id="Reb45ae78af8244f0" /><Relationship Type="http://schemas.openxmlformats.org/officeDocument/2006/relationships/worksheet" Target="/xl/worksheets/sheet1.xml" Id="R470ade39f3e74fc8" /><Relationship Type="http://schemas.openxmlformats.org/officeDocument/2006/relationships/worksheet" Target="/xl/worksheets/sheet2.xml" Id="R48ea2d0655914f3d" /><Relationship Type="http://schemas.openxmlformats.org/officeDocument/2006/relationships/worksheet" Target="/xl/worksheets/sheet3.xml" Id="Rdf9928f96ab948a0" /><Relationship Type="http://schemas.openxmlformats.org/officeDocument/2006/relationships/worksheet" Target="/xl/worksheets/sheet4.xml" Id="Rf7920cf45ecf47bb" /><Relationship Type="http://schemas.openxmlformats.org/officeDocument/2006/relationships/worksheet" Target="/xl/worksheets/sheet5.xml" Id="R0c535482af354ee8" /></Relationships>
</file>

<file path=xl/tables/table1.xml><?xml version="1.0" encoding="utf-8"?>
<x:table xmlns:x="http://schemas.openxmlformats.org/spreadsheetml/2006/main" id="1" name="IssuesR1" displayName="IssuesR1" ref="A1:I26" headerRowCount="1" totalsRowCount="0" totalsRowShown="0">
  <x:tableColumns count="9">
    <x:tableColumn id="1" name="问题编号"/>
    <x:tableColumn id="2" name="优先级"/>
    <x:tableColumn id="3" name="PDF／用户依据"/>
    <x:tableColumn id="4" name="原审计差异"/>
    <x:tableColumn id="5" name="本轮阶段"/>
    <x:tableColumn id="6" name="实际代码推进"/>
    <x:tableColumn id="7" name="代码与测试位置"/>
    <x:tableColumn id="8" name="仍需完成"/>
    <x:tableColumn id="9" name="正式关闭"/>
  </x:tableColumns>
  <x:tableStyleInfo name="TableStyleMedium2" showFirstColumn="0" showLastColumn="0" showRowStripes="1" showColumnStripes="0"/>
</x:table>
</file>

<file path=xl/tables/table2.xml><?xml version="1.0" encoding="utf-8"?>
<x:table xmlns:x="http://schemas.openxmlformats.org/spreadsheetml/2006/main" id="2" name="ClausesR1" displayName="ClausesR1" ref="A1:H102" headerRowCount="1" totalsRowCount="0" totalsRowShown="0">
  <x:tableColumns count="8">
    <x:tableColumn id="1" name="PDF条款"/>
    <x:tableColumn id="2" name="采购项目"/>
    <x:tableColumn id="3" name="PDF页码"/>
    <x:tableColumn id="4" name="采购原文（沿用审计录入）"/>
    <x:tableColumn id="5" name="关联问题"/>
    <x:tableColumn id="6" name="本轮涉及阶段"/>
    <x:tableColumn id="7" name="原审计判断（未冒改为通过）"/>
    <x:tableColumn id="8" name="完整条款后续核验"/>
  </x:tableColumns>
  <x:tableStyleInfo name="TableStyleMedium2" showFirstColumn="0" showLastColumn="0" showRowStripes="1" showColumnStripes="0"/>
</x:table>
</file>

<file path=xl/tables/table3.xml><?xml version="1.0" encoding="utf-8"?>
<x:table xmlns:x="http://schemas.openxmlformats.org/spreadsheetml/2006/main" id="3" name="TestsR1" displayName="TestsR1" ref="A1:G8" headerRowCount="1" totalsRowCount="0" totalsRowShown="0">
  <x:tableColumns count="7">
    <x:tableColumn id="1" name="回归组"/>
    <x:tableColumn id="2" name="用例数"/>
    <x:tableColumn id="3" name="通过数"/>
    <x:tableColumn id="4" name="失败数"/>
    <x:tableColumn id="5" name="本轮结果"/>
    <x:tableColumn id="6" name="验证边界"/>
    <x:tableColumn id="7" name="测试文件"/>
  </x:tableColumns>
  <x:tableStyleInfo name="TableStyleMedium2" showFirstColumn="0" showLastColumn="0" showRowStripes="1" showColumnStripes="0"/>
</x:table>
</file>

<file path=xl/tables/table4.xml><?xml version="1.0" encoding="utf-8"?>
<x:table xmlns:x="http://schemas.openxmlformats.org/spreadsheetml/2006/main" id="4" name="MissingR1" displayName="MissingR1" ref="A1:D24" headerRowCount="1" totalsRowCount="0" totalsRowShown="0">
  <x:tableColumns count="4">
    <x:tableColumn id="1" name="序号"/>
    <x:tableColumn id="2" name="当前缺失文件／迁移材料"/>
    <x:tableColumn id="3" name="影响"/>
    <x:tableColumn id="4" name="处理原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39550f403d43b6" /></Relationships>
</file>

<file path=xl/worksheets/_rels/sheet3.xml.rels>&#65279;<?xml version="1.0" encoding="utf-8"?><Relationships xmlns="http://schemas.openxmlformats.org/package/2006/relationships"><Relationship Type="http://schemas.openxmlformats.org/officeDocument/2006/relationships/table" Target="/xl/tables/table2.xml" Id="Ra82ffefb2c5a47ae" /></Relationships>
</file>

<file path=xl/worksheets/_rels/sheet4.xml.rels>&#65279;<?xml version="1.0" encoding="utf-8"?><Relationships xmlns="http://schemas.openxmlformats.org/package/2006/relationships"><Relationship Type="http://schemas.openxmlformats.org/officeDocument/2006/relationships/table" Target="/xl/tables/table3.xml" Id="R40a8a4f1c7904ec7" /></Relationships>
</file>

<file path=xl/worksheets/_rels/sheet5.xml.rels>&#65279;<?xml version="1.0" encoding="utf-8"?><Relationships xmlns="http://schemas.openxmlformats.org/package/2006/relationships"><Relationship Type="http://schemas.openxmlformats.org/officeDocument/2006/relationships/table" Target="/xl/tables/table4.xml" Id="R860d8d7694b54813"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8" customHeight="1">
      <x:c r="A1" s="23" t="str">
        <x:v>跃科 · 非学历教育智慧前台
P0-R1 纠偏施工检查点</x:v>
      </x:c>
      <x:c r="B1" s="18"/>
      <x:c r="C1" s="18"/>
      <x:c r="D1" s="18"/>
      <x:c r="E1" s="18"/>
      <x:c r="F1" s="18"/>
      <x:c r="G1" s="18"/>
      <x:c r="H1" s="18"/>
    </x:row>
    <x:row r="2" ht="29" customHeight="1">
      <x:c r="A2" s="18"/>
      <x:c r="B2" s="18"/>
      <x:c r="C2" s="18"/>
      <x:c r="D2" s="18"/>
      <x:c r="E2" s="18"/>
      <x:c r="F2" s="18"/>
      <x:c r="G2" s="18"/>
      <x:c r="H2" s="18"/>
    </x:row>
    <x:row r="3" ht="29" customHeight="1">
      <x:c r="A3" s="18"/>
      <x:c r="B3" s="18"/>
      <x:c r="C3" s="18"/>
      <x:c r="D3" s="18"/>
      <x:c r="E3" s="18"/>
      <x:c r="F3" s="18"/>
      <x:c r="G3" s="18"/>
      <x:c r="H3" s="18"/>
    </x:row>
    <x:row r="4" ht="29" customHeight="1">
      <x:c r="A4" s="27" t="str">
        <x:v>交付裁决：BLOCKED｜包含真实改动源码与可重复测试；不是完整部署包，不得覆盖学校服务器。</x:v>
      </x:c>
      <x:c r="B4" s="18"/>
      <x:c r="C4" s="18"/>
      <x:c r="D4" s="18"/>
      <x:c r="E4" s="18"/>
      <x:c r="F4" s="18"/>
      <x:c r="G4" s="18"/>
      <x:c r="H4" s="18"/>
    </x:row>
    <x:row r="5" ht="29" customHeight="1">
      <x:c r="A5" s="18"/>
      <x:c r="B5" s="18"/>
      <x:c r="C5" s="18"/>
      <x:c r="D5" s="18"/>
      <x:c r="E5" s="18"/>
      <x:c r="F5" s="18"/>
      <x:c r="G5" s="18"/>
      <x:c r="H5" s="18"/>
    </x:row>
    <x:row r="6" ht="29" customHeight="1">
      <x:c r="A6" s="18"/>
      <x:c r="B6" s="18"/>
      <x:c r="C6" s="18"/>
      <x:c r="D6" s="18"/>
      <x:c r="E6" s="18"/>
      <x:c r="F6" s="18"/>
      <x:c r="G6" s="18"/>
      <x:c r="H6" s="18"/>
    </x:row>
    <x:row r="7" ht="29" customHeight="1">
      <x:c r="A7" s="18" t="str">
        <x:v>Python 模块测试</x:v>
      </x:c>
      <x:c r="B7" s="18"/>
      <x:c r="C7" s="18" t="str">
        <x:v>Node 前端测试</x:v>
      </x:c>
      <x:c r="D7" s="18"/>
      <x:c r="E7" s="18" t="str">
        <x:v>审计差异组</x:v>
      </x:c>
      <x:c r="F7" s="18"/>
      <x:c r="G7" s="18" t="str">
        <x:v>正式关闭差异</x:v>
      </x:c>
      <x:c r="H7" s="18"/>
    </x:row>
    <x:row r="8" ht="29" customHeight="1">
      <x:c r="A8" s="32" t="n">
        <x:f>SUM('模块测试'!B2:B7)</x:f>
        <x:v>105</x:v>
      </x:c>
      <x:c r="B8" s="18"/>
      <x:c r="C8" s="32" t="n">
        <x:f>'模块测试'!B8</x:f>
        <x:v>12</x:v>
      </x:c>
      <x:c r="D8" s="18"/>
      <x:c r="E8" s="32" t="n">
        <x:f>COUNTA('25组差异跟踪'!A2:A26)</x:f>
        <x:v>25</x:v>
      </x:c>
      <x:c r="F8" s="18"/>
      <x:c r="G8" s="32" t="n">
        <x:f>COUNTIF('25组差异跟踪'!I2:I26,"是")</x:f>
        <x:v>0</x:v>
      </x:c>
      <x:c r="H8" s="18"/>
    </x:row>
    <x:row r="9" ht="29" customHeight="1">
      <x:c r="A9" s="18"/>
      <x:c r="B9" s="18"/>
      <x:c r="C9" s="18"/>
      <x:c r="D9" s="18"/>
      <x:c r="E9" s="18"/>
      <x:c r="F9" s="18"/>
      <x:c r="G9" s="18"/>
      <x:c r="H9" s="18"/>
    </x:row>
    <x:row r="10" ht="29" customHeight="1">
      <x:c r="A10" s="18"/>
      <x:c r="B10" s="18"/>
      <x:c r="C10" s="18"/>
      <x:c r="D10" s="18"/>
      <x:c r="E10" s="18"/>
      <x:c r="F10" s="18"/>
      <x:c r="G10" s="18"/>
      <x:c r="H10" s="18"/>
    </x:row>
    <x:row r="11" ht="29" customHeight="1">
      <x:c r="A11" s="18" t="str">
        <x:v>已有真实推进</x:v>
      </x:c>
      <x:c r="B11" s="18"/>
      <x:c r="C11" s="18" t="str">
        <x:v>统一范围、筛选下钻、首页筛选、健康检查、普通访问日志、维护锁、备份校验、镜像配置与探测。</x:v>
      </x:c>
      <x:c r="D11" s="18"/>
      <x:c r="E11" s="18"/>
      <x:c r="F11" s="18"/>
      <x:c r="G11" s="18"/>
      <x:c r="H11" s="18"/>
    </x:row>
    <x:row r="12" ht="29" customHeight="1">
      <x:c r="A12" s="18"/>
      <x:c r="B12" s="18"/>
      <x:c r="C12" s="18"/>
      <x:c r="D12" s="18"/>
      <x:c r="E12" s="18"/>
      <x:c r="F12" s="18"/>
      <x:c r="G12" s="18"/>
      <x:c r="H12" s="18"/>
    </x:row>
    <x:row r="13" ht="29" customHeight="1">
      <x:c r="A13" s="18"/>
      <x:c r="B13" s="18"/>
      <x:c r="C13" s="18"/>
      <x:c r="D13" s="18"/>
      <x:c r="E13" s="18"/>
      <x:c r="F13" s="18"/>
      <x:c r="G13" s="18"/>
      <x:c r="H13" s="18"/>
    </x:row>
    <x:row r="14" ht="29" customHeight="1">
      <x:c r="A14" s="18" t="str">
        <x:v>仍未验证</x:v>
      </x:c>
      <x:c r="B14" s="18"/>
      <x:c r="C14" s="18" t="str">
        <x:v>完整应用、MySQL 8.4、Docker真实演练、四角色浏览器、100并发、学校接口及真实样本双轨比对。</x:v>
      </x:c>
      <x:c r="D14" s="18"/>
      <x:c r="E14" s="18"/>
      <x:c r="F14" s="18"/>
      <x:c r="G14" s="18"/>
      <x:c r="H14" s="18"/>
    </x:row>
    <x:row r="15" ht="29" customHeight="1">
      <x:c r="A15" s="18"/>
      <x:c r="B15" s="18"/>
      <x:c r="C15" s="18"/>
      <x:c r="D15" s="18"/>
      <x:c r="E15" s="18"/>
      <x:c r="F15" s="18"/>
      <x:c r="G15" s="18"/>
      <x:c r="H15" s="18"/>
    </x:row>
    <x:row r="16" ht="29" customHeight="1">
      <x:c r="A16" s="18"/>
      <x:c r="B16" s="18"/>
      <x:c r="C16" s="18"/>
      <x:c r="D16" s="18"/>
      <x:c r="E16" s="18"/>
      <x:c r="F16" s="18"/>
      <x:c r="G16" s="18"/>
      <x:c r="H16" s="18"/>
    </x:row>
    <x:row r="17" ht="29" customHeight="1">
      <x:c r="A17" s="37" t="str">
        <x:v>依据：用户采购PDF（79a6e12c…pdf，9页／14项／101条）与《跃科非学历教育_PDF与源码差异审计_20260917.xlsx》。本表只追加施工证据，不将历史桥接记录或本轮隔离测试当作采购条款PASS。源码齐套检查见“源码缺件”。</x:v>
      </x:c>
      <x:c r="B17" s="18"/>
      <x:c r="C17" s="18"/>
      <x:c r="D17" s="18"/>
      <x:c r="E17" s="18"/>
      <x:c r="F17" s="18"/>
      <x:c r="G17" s="18"/>
      <x:c r="H17" s="18"/>
    </x:row>
    <x:row r="18" ht="29" customHeight="1">
      <x:c r="A18" s="18"/>
      <x:c r="B18" s="18"/>
      <x:c r="C18" s="18"/>
      <x:c r="D18" s="18"/>
      <x:c r="E18" s="18"/>
      <x:c r="F18" s="18"/>
      <x:c r="G18" s="18"/>
      <x:c r="H18" s="18"/>
    </x:row>
    <x:row r="19" ht="29" customHeight="1">
      <x:c r="A19" s="18"/>
      <x:c r="B19" s="18"/>
      <x:c r="C19" s="18"/>
      <x:c r="D19" s="18"/>
      <x:c r="E19" s="18"/>
      <x:c r="F19" s="18"/>
      <x:c r="G19" s="18"/>
      <x:c r="H19" s="18"/>
    </x:row>
  </x:sheetData>
  <x:mergeCells>
    <x:mergeCell ref="A1:H2"/>
    <x:mergeCell ref="A4:H5"/>
    <x:mergeCell ref="A7:B7"/>
    <x:mergeCell ref="A8:B9"/>
    <x:mergeCell ref="C7:D7"/>
    <x:mergeCell ref="C8:D9"/>
    <x:mergeCell ref="E7:F7"/>
    <x:mergeCell ref="E8:F9"/>
    <x:mergeCell ref="G7:H7"/>
    <x:mergeCell ref="G8:H9"/>
    <x:mergeCell ref="A11:B11"/>
    <x:mergeCell ref="C11:H12"/>
    <x:mergeCell ref="A14:B14"/>
    <x:mergeCell ref="C14:H15"/>
    <x:mergeCell ref="A17:H19"/>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9" hidden="0" customWidth="1"/>
    <x:col min="3" max="3" width="27" hidden="0" customWidth="1"/>
    <x:col min="4" max="4" width="40" hidden="0" customWidth="1"/>
    <x:col min="5" max="5" width="21" hidden="0" customWidth="1"/>
    <x:col min="6" max="6" width="40" hidden="0" customWidth="1"/>
    <x:col min="7" max="7" width="35" hidden="0" customWidth="1"/>
    <x:col min="8" max="8" width="40" hidden="0" customWidth="1"/>
    <x:col min="9" max="9" width="12" hidden="0" customWidth="1"/>
  </x:cols>
  <x:sheetData>
    <x:row r="1" ht="34" customHeight="1">
      <x:c r="A1" s="9" t="str">
        <x:v>问题编号</x:v>
      </x:c>
      <x:c r="B1" s="9" t="str">
        <x:v>优先级</x:v>
      </x:c>
      <x:c r="C1" s="9" t="str">
        <x:v>PDF／用户依据</x:v>
      </x:c>
      <x:c r="D1" s="9" t="str">
        <x:v>原审计差异</x:v>
      </x:c>
      <x:c r="E1" s="9" t="str">
        <x:v>本轮阶段</x:v>
      </x:c>
      <x:c r="F1" s="9" t="str">
        <x:v>实际代码推进</x:v>
      </x:c>
      <x:c r="G1" s="9" t="str">
        <x:v>代码与测试位置</x:v>
      </x:c>
      <x:c r="H1" s="9" t="str">
        <x:v>仍需完成</x:v>
      </x:c>
      <x:c r="I1" s="9" t="str">
        <x:v>正式关闭</x:v>
      </x:c>
    </x:row>
    <x:row r="2" ht="138" customHeight="1">
      <x:c r="A2" s="4" t="str">
        <x:v>D01</x:v>
      </x:c>
      <x:c r="B2" s="4" t="str">
        <x:v>P0</x:v>
      </x:c>
      <x:c r="C2" s="4" t="str">
        <x:v>13.1 / 13.6 / 14.5</x:v>
      </x:c>
      <x:c r="D2" s="4" t="str">
        <x:v>只有9个源码/配置/脚本和1份旧流程记录；未找到后续组织考核、维护锁、健康检查补丁对应完整代码。</x:v>
      </x:c>
      <x:c r="E2" s="4" t="str">
        <x:v>部分推进</x:v>
      </x:c>
      <x:c r="F2" s="4" t="str">
        <x:v>已建立唯一开发副本、原始指纹和源码齐套检查，完整恢复仍被缺件阻断。</x:v>
      </x:c>
      <x:c r="G2" s="4" t="str">
        <x:v>scripts/check_assembly.py；evidence/before/source_manifest.json</x:v>
      </x:c>
      <x:c r="H2" s="4" t="str">
        <x:v>补齐22个被引用文件及原Alembic图；不得用测试夹具替代。</x:v>
      </x:c>
      <x:c r="I2" s="13" t="str">
        <x:v>否</x:v>
      </x:c>
    </x:row>
    <x:row r="3" ht="138" customHeight="1">
      <x:c r="A3" s="4" t="str">
        <x:v>D02</x:v>
      </x:c>
      <x:c r="B3" s="4" t="str">
        <x:v>P0</x:v>
      </x:c>
      <x:c r="C3" s="4" t="str">
        <x:v>10.1；用户续施工四对象要求</x:v>
      </x:c>
      <x:c r="D3" s="4" t="str">
        <x:v>当前规则只分积分/考核，Assessment只绑定teacher_id，生成/试算UI只选教师。</x:v>
      </x:c>
      <x:c r="E3" s="4" t="str">
        <x:v>本轮未施工</x:v>
      </x:c>
      <x:c r="F3" s="4" t="str">
        <x:v>保留原审计问题，不用别的功能代替。</x:v>
      </x:c>
      <x:c r="G3" s="4" t="str">
        <x:v>models.py:171-183,226-239；services.py:182-200；app.js:102,155-158</x:v>
      </x:c>
      <x:c r="H3" s="4" t="str">
        <x:v>学校/学院/教研室/教师各自规则与结果；原教师数据兼容迁移。</x:v>
      </x:c>
      <x:c r="I3" s="13" t="str">
        <x:v>否</x:v>
      </x:c>
    </x:row>
    <x:row r="4" ht="138" customHeight="1">
      <x:c r="A4" s="4" t="str">
        <x:v>D03</x:v>
      </x:c>
      <x:c r="B4" s="4" t="str">
        <x:v>P0</x:v>
      </x:c>
      <x:c r="C4" s="4" t="str">
        <x:v>2.1,2.4；4.1-4.9；11.1,11.4,11.8,11.9；13.3</x:v>
      </x:c>
      <x:c r="D4" s="4" t="str">
        <x:v>接口页定位仅映射登记/本地校验，不发送外部请求；驾驶舱状态写死；未取得正式adapter/worker。</x:v>
      </x:c>
      <x:c r="E4" s="4" t="str">
        <x:v>文案纠偏</x:v>
      </x:c>
      <x:c r="F4" s="4" t="str">
        <x:v>把接口从“本次排除”改为采购范围内待适配与现场联调；仍NOT_CONNECTED。</x:v>
      </x:c>
      <x:c r="G4" s="4" t="str">
        <x:v>frontend/app.js / pages.sync</x:v>
      </x:c>
      <x:c r="H4" s="4" t="str">
        <x:v>适配器、worker、全部数据类型同步能力尚未实现/恢复。</x:v>
      </x:c>
      <x:c r="I4" s="13" t="str">
        <x:v>否</x:v>
      </x:c>
    </x:row>
    <x:row r="5" ht="138" customHeight="1">
      <x:c r="A5" s="4" t="str">
        <x:v>D04</x:v>
      </x:c>
      <x:c r="B5" s="4" t="str">
        <x:v>P0</x:v>
      </x:c>
      <x:c r="C5" s="4" t="str">
        <x:v>4.1 / 11.3 / 7.2</x:v>
      </x:c>
      <x:c r="D5" s="4" t="str">
        <x:v>可核验数据主体是单教师培训流水与教师资质，未见完整项目课程主数据/计划/学习过程/结业结果/证书传输落库契约。</x:v>
      </x:c>
      <x:c r="E5" s="4" t="str">
        <x:v>本轮未施工</x:v>
      </x:c>
      <x:c r="F5" s="4" t="str">
        <x:v>保留原审计问题，不用别的功能代替。</x:v>
      </x:c>
      <x:c r="G5" s="4" t="str">
        <x:v>models.py:104-123,134-169,286-315</x:v>
      </x:c>
      <x:c r="H5" s="4" t="str">
        <x:v>逐类型输入脱敏样本并核对出入字段、缺失值、重复、修订和回执。</x:v>
      </x:c>
      <x:c r="I5" s="13" t="str">
        <x:v>否</x:v>
      </x:c>
    </x:row>
    <x:row r="6" ht="138" customHeight="1">
      <x:c r="A6" s="4" t="str">
        <x:v>D05</x:v>
      </x:c>
      <x:c r="B6" s="4" t="str">
        <x:v>P0</x:v>
      </x:c>
      <x:c r="C6" s="4" t="str">
        <x:v>1.5 / 7.3 / 7.5；用户统一范围要求</x:v>
      </x:c>
      <x:c r="D6" s="4" t="str">
        <x:v>项目P1仅有1名教师、收入100，考核统计仍计2名教师；考核查询缺项目/课程/日期业务范围。</x:v>
      </x:c>
      <x:c r="E6" s="4" t="str">
        <x:v>已改待集成</x:v>
      </x:c>
      <x:c r="F6" s="4" t="str">
        <x:v>统一培训范围和相关教师考核查询，避免项目1人而考核2人；不改归档得分。</x:v>
      </x:c>
      <x:c r="G6" s="4" t="str">
        <x:v>backend/app/read_queries.py；services.py；test_read_queries.py</x:v>
      </x:c>
      <x:c r="H6" s="4" t="str">
        <x:v>接回正式列表和导出路由，真实MySQL、四角色页面同口径复验。</x:v>
      </x:c>
      <x:c r="I6" s="13" t="str">
        <x:v>否</x:v>
      </x:c>
    </x:row>
    <x:row r="7" ht="138" customHeight="1">
      <x:c r="A7" s="4" t="str">
        <x:v>D06</x:v>
      </x:c>
      <x:c r="B7" s="4" t="str">
        <x:v>P0</x:v>
      </x:c>
      <x:c r="C7" s="4" t="str">
        <x:v>1.5 / 5.3 / 6.4 / 7.3</x:v>
      </x:c>
      <x:c r="D7" s="4" t="str">
        <x:v>nav默认重置筛选；drill-org仅保留org_id，项目日期丢失；选择全部周期仍保留旧periodId。</x:v>
      </x:c>
      <x:c r="E7" s="4" t="str">
        <x:v>已改待浏览器</x:v>
      </x:c>
      <x:c r="F7" s="4" t="str">
        <x:v>下钻保留项目/课程/日期/组织/周期，URL可恢复，全部周期明确清空。</x:v>
      </x:c>
      <x:c r="G7" s="4" t="str">
        <x:v>frontend/scope.js；app.js；tests/js/scope.test.mjs</x:v>
      </x:c>
      <x:c r="H7" s="4" t="str">
        <x:v>同版完整前端原生浏览器往返、刷新、下载范围测试。</x:v>
      </x:c>
      <x:c r="I7" s="13" t="str">
        <x:v>否</x:v>
      </x:c>
    </x:row>
    <x:row r="8" ht="138" customHeight="1">
      <x:c r="A8" s="4" t="str">
        <x:v>D07</x:v>
      </x:c>
      <x:c r="B8" s="4" t="str">
        <x:v>P1</x:v>
      </x:c>
      <x:c r="C8" s="4" t="str">
        <x:v>5.2 / 7.2 / 7.4 / 7.5</x:v>
      </x:c>
      <x:c r="D8" s="4" t="str">
        <x:v>项目/课程/班级数按有培训流水去重；考核分布仅显示处理状态；负收入图柱存在显示限制。</x:v>
      </x:c>
      <x:c r="E8" s="4" t="str">
        <x:v>本轮未施工</x:v>
      </x:c>
      <x:c r="F8" s="4" t="str">
        <x:v>保留原审计问题，不用别的功能代替。</x:v>
      </x:c>
      <x:c r="G8" s="4" t="str">
        <x:v>services.py:40-72；app.js:91-97</x:v>
      </x:c>
      <x:c r="H8" s="4" t="str">
        <x:v>包含无流水项目、负更正收入、不同得分段的业务样本核对。</x:v>
      </x:c>
      <x:c r="I8" s="13" t="str">
        <x:v>否</x:v>
      </x:c>
    </x:row>
    <x:row r="9" ht="138" customHeight="1">
      <x:c r="A9" s="4" t="str">
        <x:v>D08</x:v>
      </x:c>
      <x:c r="B9" s="4" t="str">
        <x:v>P1</x:v>
      </x:c>
      <x:c r="C9" s="4" t="str">
        <x:v>9.1 / 9.2 / 10.1 / 10.8</x:v>
      </x:c>
      <x:c r="D9" s="4" t="str">
        <x:v>积分仅原值×系数带上限；考核仅达标比例×权重；界面只能从6类来源选择。</x:v>
      </x:c>
      <x:c r="E9" s="4" t="str">
        <x:v>本轮未施工</x:v>
      </x:c>
      <x:c r="F9" s="4" t="str">
        <x:v>保留原审计问题，不用别的功能代替。</x:v>
      </x:c>
      <x:c r="G9" s="4" t="str">
        <x:v>services.py:122-142；app.js:153-158</x:v>
      </x:c>
      <x:c r="H9" s="4" t="str">
        <x:v>真实规则代表样本、边界值、舍入规则、零目标拒绝与版本冻结。</x:v>
      </x:c>
      <x:c r="I9" s="13" t="str">
        <x:v>否</x:v>
      </x:c>
    </x:row>
    <x:row r="10" ht="138" customHeight="1">
      <x:c r="A10" s="4" t="str">
        <x:v>D09</x:v>
      </x:c>
      <x:c r="B10" s="4" t="str">
        <x:v>P1</x:v>
      </x:c>
      <x:c r="C10" s="4" t="str">
        <x:v>8.4 / 8.5 / 9.2 / 10.1</x:v>
      </x:c>
      <x:c r="D10" s="4" t="str">
        <x:v>有效资质固定看周期结束日，考核来源固定上一已归档周期；PDF未指定这些唯一算法。</x:v>
      </x:c>
      <x:c r="E10" s="4" t="str">
        <x:v>本轮未施工</x:v>
      </x:c>
      <x:c r="F10" s="4" t="str">
        <x:v>保留原审计问题，不用别的功能代替。</x:v>
      </x:c>
      <x:c r="G10" s="4" t="str">
        <x:v>services.py:93-119；app.js:127</x:v>
      </x:c>
      <x:c r="H10" s="4" t="str">
        <x:v>学校签认口径；跨有效期、补录、后续资质变更和历史周期样本。</x:v>
      </x:c>
      <x:c r="I10" s="13" t="str">
        <x:v>否</x:v>
      </x:c>
    </x:row>
    <x:row r="11" ht="138" customHeight="1">
      <x:c r="A11" s="4" t="str">
        <x:v>D10</x:v>
      </x:c>
      <x:c r="B11" s="4" t="str">
        <x:v>P1</x:v>
      </x:c>
      <x:c r="C11" s="4" t="str">
        <x:v>5.2 / 5.3 / 5.6</x:v>
      </x:c>
      <x:c r="D11" s="4" t="str">
        <x:v>个人首页未提供时间/项目/课程筛选；“当前周期”展示与空periodId/全部周期取数可能不一致。</x:v>
      </x:c>
      <x:c r="E11" s="4" t="str">
        <x:v>部分推进</x:v>
      </x:c>
      <x:c r="F11" s="4" t="str">
        <x:v>教师首页增加时间/项目/课程/周期筛选；区分指定与全部周期，不再假称列表首条一定最新。</x:v>
      </x:c>
      <x:c r="G11" s="4" t="str">
        <x:v>frontend/app.js / pages.home</x:v>
      </x:c>
      <x:c r="H11" s="4" t="str">
        <x:v>最近考核后端排序、参训与授课数据语义待补。</x:v>
      </x:c>
      <x:c r="I11" s="13" t="str">
        <x:v>否</x:v>
      </x:c>
    </x:row>
    <x:row r="12" ht="138" customHeight="1">
      <x:c r="A12" s="4" t="str">
        <x:v>D11</x:v>
      </x:c>
      <x:c r="B12" s="4" t="str">
        <x:v>P1</x:v>
      </x:c>
      <x:c r="C12" s="4" t="str">
        <x:v>5.2 / 4.1 / 7.5</x:v>
      </x:c>
      <x:c r="D12" s="4" t="str">
        <x:v>培训参与记录和授课记录共用单教师流水，未见明确参与身份；收入和人次直接累加。</x:v>
      </x:c>
      <x:c r="E12" s="4" t="str">
        <x:v>本轮未施工</x:v>
      </x:c>
      <x:c r="F12" s="4" t="str">
        <x:v>保留原审计问题，不用别的功能代替。</x:v>
      </x:c>
      <x:c r="G12" s="4" t="str">
        <x:v>models.py:104-123；services.py:40-45</x:v>
      </x:c>
      <x:c r="H12" s="4" t="str">
        <x:v>同班多教师、教师参训、退款更正三类样本人工核对。</x:v>
      </x:c>
      <x:c r="I12" s="13" t="str">
        <x:v>否</x:v>
      </x:c>
    </x:row>
    <x:row r="13" ht="138" customHeight="1">
      <x:c r="A13" s="4" t="str">
        <x:v>D12</x:v>
      </x:c>
      <x:c r="B13" s="4" t="str">
        <x:v>P1</x:v>
      </x:c>
      <x:c r="C13" s="4" t="str">
        <x:v>6.3 / 6.6</x:v>
      </x:c>
      <x:c r="D13" s="4" t="str">
        <x:v>分级管理页主要是运行指标+明细入口，未集中显示本组织待办与考核进度。</x:v>
      </x:c>
      <x:c r="E13" s="4" t="str">
        <x:v>本轮未施工</x:v>
      </x:c>
      <x:c r="F13" s="4" t="str">
        <x:v>保留原审计问题，不用别的功能代替。</x:v>
      </x:c>
      <x:c r="G13" s="4" t="str">
        <x:v>app.js:104；services.py:40-72</x:v>
      </x:c>
      <x:c r="H13" s="4" t="str">
        <x:v>学院/教研室首页待办、进度与实际业务状态对应。</x:v>
      </x:c>
      <x:c r="I13" s="13" t="str">
        <x:v>否</x:v>
      </x:c>
    </x:row>
    <x:row r="14" ht="138" customHeight="1">
      <x:c r="A14" s="4" t="str">
        <x:v>D13</x:v>
      </x:c>
      <x:c r="B14" s="4" t="str">
        <x:v>P1</x:v>
      </x:c>
      <x:c r="C14" s="4" t="str">
        <x:v>10.9</x:v>
      </x:c>
      <x:c r="D14" s="4" t="str">
        <x:v>考核列表有“是否退回”列，但筛选下拉只有流程环节，没有退回筛选。</x:v>
      </x:c>
      <x:c r="E14" s="4" t="str">
        <x:v>部分推进</x:v>
      </x:c>
      <x:c r="F14" s="4" t="str">
        <x:v>新增退回状态独立筛选，查询服务支持returned与环节组合。</x:v>
      </x:c>
      <x:c r="G14" s="4" t="str">
        <x:v>frontend/app.js；backend/app/read_queries.py</x:v>
      </x:c>
      <x:c r="H14" s="4" t="str">
        <x:v>缺失calculations路由须接收/验证新参数并共用查询服务。</x:v>
      </x:c>
      <x:c r="I14" s="13" t="str">
        <x:v>否</x:v>
      </x:c>
    </x:row>
    <x:row r="15" ht="138" customHeight="1">
      <x:c r="A15" s="4" t="str">
        <x:v>D14</x:v>
      </x:c>
      <x:c r="B15" s="4" t="str">
        <x:v>P1</x:v>
      </x:c>
      <x:c r="C15" s="4" t="str">
        <x:v>9.4-9.6 / 1.5</x:v>
      </x:c>
      <x:c r="D15" s="4" t="str">
        <x:v>追加差额方向正确；解锁/人工调整后端缺证。积分流水按教师筛选，确认台账请求只传周期。</x:v>
      </x:c>
      <x:c r="E15" s="4" t="str">
        <x:v>部分推进</x:v>
      </x:c>
      <x:c r="F15" s="4" t="str">
        <x:v>积分确认台账请求携带教师筛选；保留原追加差额计算函数。</x:v>
      </x:c>
      <x:c r="G15" s="4" t="str">
        <x:v>frontend/app.js / pages.points；test_preservation.py</x:v>
      </x:c>
      <x:c r="H15" s="4" t="str">
        <x:v>确认/解锁/调整/冲销及正式point-balances路由仍待核。</x:v>
      </x:c>
      <x:c r="I15" s="13" t="str">
        <x:v>否</x:v>
      </x:c>
    </x:row>
    <x:row r="16" ht="138" customHeight="1">
      <x:c r="A16" s="4" t="str">
        <x:v>D15</x:v>
      </x:c>
      <x:c r="B16" s="4" t="str">
        <x:v>P1</x:v>
      </x:c>
      <x:c r="C16" s="4" t="str">
        <x:v>3.1 / 3.2 / 3.4</x:v>
      </x:c>
      <x:c r="D16" s="4" t="str">
        <x:v>设置表单只有学校名称、资质字典/到期、口径文字；状态值和其他参数未看到配置化实现。</x:v>
      </x:c>
      <x:c r="E16" s="4" t="str">
        <x:v>本轮未施工</x:v>
      </x:c>
      <x:c r="F16" s="4" t="str">
        <x:v>保留原审计问题，不用别的功能代替。</x:v>
      </x:c>
      <x:c r="G16" s="4" t="str">
        <x:v>app.js:9,109,172；models.py:80-102</x:v>
      </x:c>
      <x:c r="H16" s="4" t="str">
        <x:v>参数修改跨页面/接口统一生效，保留理由与历史。</x:v>
      </x:c>
      <x:c r="I16" s="13" t="str">
        <x:v>否</x:v>
      </x:c>
    </x:row>
    <x:row r="17" ht="138" customHeight="1">
      <x:c r="A17" s="4" t="str">
        <x:v>D16</x:v>
      </x:c>
      <x:c r="B17" s="4" t="str">
        <x:v>P0</x:v>
      </x:c>
      <x:c r="C17" s="4" t="str">
        <x:v>2.1-2.3 / 13.5</x:v>
      </x:c>
      <x:c r="D17" s="4" t="str">
        <x:v>恢复前端使用same-origin Cookie+CSRF，没有Authorization Bearer；旧施工表称恢复Bearer骨架。</x:v>
      </x:c>
      <x:c r="E17" s="4" t="str">
        <x:v>本轮未施工</x:v>
      </x:c>
      <x:c r="F17" s="4" t="str">
        <x:v>保留原审计问题，不用别的功能代替。</x:v>
      </x:c>
      <x:c r="G17" s="4" t="str">
        <x:v>app.js:24-32；旧施工矩阵“Bearer会话”描述</x:v>
      </x:c>
      <x:c r="H17" s="4" t="str">
        <x:v>原生浏览器登录、首登改密、退出、失效/跨站请求与静态资源同域联调。</x:v>
      </x:c>
      <x:c r="I17" s="13" t="str">
        <x:v>否</x:v>
      </x:c>
    </x:row>
    <x:row r="18" ht="138" customHeight="1">
      <x:c r="A18" s="4" t="str">
        <x:v>D17</x:v>
      </x:c>
      <x:c r="B18" s="4" t="str">
        <x:v>P0</x:v>
      </x:c>
      <x:c r="C18" s="4" t="str">
        <x:v>13.4；用户P0健康检查要求</x:v>
      </x:c>
      <x:c r="D18" s="4" t="str">
        <x:v>guard与settings为空，原health仍返回ok；仅检查SELECT执行不检查行；head是硬编码要求非已核验迁移。</x:v>
      </x:c>
      <x:c r="E18" s="4" t="str">
        <x:v>模块回归通过</x:v>
      </x:c>
      <x:c r="F18" s="4" t="str">
        <x:v>health检查查询、head集合、关键guard、设置、学校根、四类角色及生产策略；不自动建表。</x:v>
      </x:c>
      <x:c r="G18" s="4" t="str">
        <x:v>backend/app/readiness.py；main.py；test_readiness.py</x:v>
      </x:c>
      <x:c r="H18" s="4" t="str">
        <x:v>当前继承期望head不是已取迁移head；真实MySQL验证未做。</x:v>
      </x:c>
      <x:c r="I18" s="13" t="str">
        <x:v>否</x:v>
      </x:c>
    </x:row>
    <x:row r="19" ht="138" customHeight="1">
      <x:c r="A19" s="4" t="str">
        <x:v>D18</x:v>
      </x:c>
      <x:c r="B19" s="4" t="str">
        <x:v>P0</x:v>
      </x:c>
      <x:c r="C19" s="4" t="str">
        <x:v>12.1 / 12.2；用户P0审计事务要求</x:v>
      </x:c>
      <x:c r="D19" s="4" t="str">
        <x:v>call_next成功后独立写访问审计，失败会将成功响应变503；关键业务审计需在原事务验证。</x:v>
      </x:c>
      <x:c r="E19" s="4" t="str">
        <x:v>部分回归通过</x:v>
      </x:c>
      <x:c r="F19" s="4" t="str">
        <x:v>普通access日志失败不反转已提交响应；错误只记录类型和请求编号。原insert_record审计异常向外抛出并回滚的路径已测。</x:v>
      </x:c>
      <x:c r="G19" s="4" t="str">
        <x:v>backend/app/access_logging.py；main.py；test_audit_and_middleware.py</x:v>
      </x:c>
      <x:c r="H19" s="4" t="str">
        <x:v>core.audit/workflow实现缺失，不能认定所有关键业务审计已闭环。</x:v>
      </x:c>
      <x:c r="I19" s="13" t="str">
        <x:v>否</x:v>
      </x:c>
    </x:row>
    <x:row r="20" ht="138" customHeight="1">
      <x:c r="A20" s="4" t="str">
        <x:v>D19</x:v>
      </x:c>
      <x:c r="B20" s="4" t="str">
        <x:v>P0</x:v>
      </x:c>
      <x:c r="C20" s="4" t="str">
        <x:v>13.2 / 13.6；用户P0维护锁要求</x:v>
      </x:c>
      <x:c r="D20" s="4" t="str">
        <x:v>仅backup持锁且EXIT trap恢复业务；upgrade备份后再次stop，迁移不在同一维护锁内。</x:v>
      </x:c>
      <x:c r="E20" s="4" t="str">
        <x:v>编排回归通过</x:v>
      </x:c>
      <x:c r="F20" s="4" t="str">
        <x:v>顶层唯一flock加持久标记；升级内备份不恢复服务；失败保持标记并尝试关停，不能确认关停时明确人工隔离。</x:v>
      </x:c>
      <x:c r="G20" s="4" t="str">
        <x:v>scripts/deploy_control.py；maintenance_guard.py；test_deployment.py</x:v>
      </x:c>
      <x:c r="H20" s="4" t="str">
        <x:v>Docker故障注入不是实际演练；worker维护消费保护及实际部署环境待集成。</x:v>
      </x:c>
      <x:c r="I20" s="13" t="str">
        <x:v>否</x:v>
      </x:c>
    </x:row>
    <x:row r="21" ht="138" customHeight="1">
      <x:c r="A21" s="4" t="str">
        <x:v>D20</x:v>
      </x:c>
      <x:c r="B21" s="4" t="str">
        <x:v>P0</x:v>
      </x:c>
      <x:c r="C21" s="4" t="str">
        <x:v>13.2 / 13.6；用户P0镜像更新要求</x:v>
      </x:c>
      <x:c r="D21" s="4" t="str">
        <x:v>内嵌更新只替换已有镜像字段，不新增缺失字段；非原子写且改权限；没有实际容器镜像核对。接口出网配置亦未见。</x:v>
      </x:c>
      <x:c r="E21" s="4" t="str">
        <x:v>编排回归通过</x:v>
      </x:c>
      <x:c r="F21" s="4" t="str">
        <x:v>镜像字段替换/补写、原子落盘、权限保留、运行镜像ID校验、TLS资源探测；防路径链接。</x:v>
      </x:c>
      <x:c r="G21" s="4" t="str">
        <x:v>scripts/atomic_env.py；deploy_control.py；deployment_smoke.py</x:v>
      </x:c>
      <x:c r="H21" s="4" t="str">
        <x:v>真实Docker/镜像/HTTPS/出网环境未验证；公网业务冒烟不替代登录E2E。</x:v>
      </x:c>
      <x:c r="I21" s="13" t="str">
        <x:v>否</x:v>
      </x:c>
    </x:row>
    <x:row r="22" ht="138" customHeight="1">
      <x:c r="A22" s="4" t="str">
        <x:v>D21</x:v>
      </x:c>
      <x:c r="B22" s="4" t="str">
        <x:v>P0</x:v>
      </x:c>
      <x:c r="C22" s="4" t="str">
        <x:v>2.3,2.5,2.7,2.8 / 8.6 / 12.5,12.6</x:v>
      </x:c>
      <x:c r="D22" s="4" t="str">
        <x:v>已有权限/绑定数据结构和调用，但核心授权、用户变更、附件/导出下载路由未取回。</x:v>
      </x:c>
      <x:c r="E22" s="4" t="str">
        <x:v>本轮未施工</x:v>
      </x:c>
      <x:c r="F22" s="4" t="str">
        <x:v>保留原审计问题，不用别的功能代替。</x:v>
      </x:c>
      <x:c r="G22" s="4" t="str">
        <x:v>main.py引用routes/core；models.py用户、角色、附件；app.js权限入口</x:v>
      </x:c>
      <x:c r="H22" s="4" t="str">
        <x:v>真实四角色正反向+组织变动+旧会话/旧导出+敏感字段测试。</x:v>
      </x:c>
      <x:c r="I22" s="13" t="str">
        <x:v>否</x:v>
      </x:c>
    </x:row>
    <x:row r="23" ht="138" customHeight="1">
      <x:c r="A23" s="4" t="str">
        <x:v>D22</x:v>
      </x:c>
      <x:c r="B23" s="4" t="str">
        <x:v>P0</x:v>
      </x:c>
      <x:c r="C23" s="4" t="str">
        <x:v>13.5 / 13.7 / 13.8</x:v>
      </x:c>
      <x:c r="D23" s="4" t="str">
        <x:v>旧流程记录明确是DOM+localhost桥接，排除原生网络/TLS/cookie；无同版MySQL/负载报告。本轮只复现4组片段问题。</x:v>
      </x:c>
      <x:c r="E23" s="4" t="str">
        <x:v>部分推进</x:v>
      </x:c>
      <x:c r="F23" s="4" t="str">
        <x:v>新增105项Python与12项Node可重复测试，失败现场保留；不继承旧桥接PASS。</x:v>
      </x:c>
      <x:c r="G23" s="4" t="str">
        <x:v>tests/；scripts/run_p0_tests.sh；evidence/current/</x:v>
      </x:c>
      <x:c r="H23" s="4" t="str">
        <x:v>完整四角色浏览器、MySQL及性能门禁仍未执行。</x:v>
      </x:c>
      <x:c r="I23" s="13" t="str">
        <x:v>否</x:v>
      </x:c>
    </x:row>
    <x:row r="24" ht="138" customHeight="1">
      <x:c r="A24" s="4" t="str">
        <x:v>D23</x:v>
      </x:c>
      <x:c r="B24" s="4" t="str">
        <x:v>P1</x:v>
      </x:c>
      <x:c r="C24" s="4" t="str">
        <x:v>6.5 / 10.7 / 14.6；用户Excel追加要求</x:v>
      </x:c>
      <x:c r="D24" s="4" t="str">
        <x:v>模板、预览、错误行、确认入口已见，但解析器、模板字节、确认事务和导出worker未取得。</x:v>
      </x:c>
      <x:c r="E24" s="4" t="str">
        <x:v>本轮未施工</x:v>
      </x:c>
      <x:c r="F24" s="4" t="str">
        <x:v>保留原审计问题，不用别的功能代替。</x:v>
      </x:c>
      <x:c r="G24" s="4" t="str">
        <x:v>app.js:106,159-160；models.py:266-284</x:v>
      </x:c>
      <x:c r="H24" s="4" t="str">
        <x:v>正常/错误/重复/二次确认/公式/压缩炸弹/边界行数以及导出回读。</x:v>
      </x:c>
      <x:c r="I24" s="13" t="str">
        <x:v>否</x:v>
      </x:c>
    </x:row>
    <x:row r="25" ht="138" customHeight="1">
      <x:c r="A25" s="4" t="str">
        <x:v>D24</x:v>
      </x:c>
      <x:c r="B25" s="4" t="str">
        <x:v>P0</x:v>
      </x:c>
      <x:c r="C25" s="4" t="str">
        <x:v>1.6 / 3.6 / 4.7 / 11.7 / 13.6 / 14.5-14.7</x:v>
      </x:c>
      <x:c r="D25" s="4" t="str">
        <x:v>完整源码、迁移、Dockerfile/Nginx、依赖、用户/管理/运维手册和开放格式输出实物未取得。</x:v>
      </x:c>
      <x:c r="E25" s="4" t="str">
        <x:v>部分推进</x:v>
      </x:c>
      <x:c r="F25" s="4" t="str">
        <x:v>保存真实修改源码、差异、测试、检查表与缺件列表；本包是非最终施工检查点。</x:v>
      </x:c>
      <x:c r="G25" s="4" t="str">
        <x:v>README_START_HERE.md；docs/P0-R1_施工结果.md</x:v>
      </x:c>
      <x:c r="H25" s="4" t="str">
        <x:v>完整源码交付、操作手册、移交业务导出仍未达到最终交付标准。</x:v>
      </x:c>
      <x:c r="I25" s="13" t="str">
        <x:v>否</x:v>
      </x:c>
    </x:row>
    <x:row r="26" ht="138" customHeight="1">
      <x:c r="A26" s="4" t="str">
        <x:v>D25</x:v>
      </x:c>
      <x:c r="B26" s="4" t="str">
        <x:v>交付</x:v>
      </x:c>
      <x:c r="C26" s="4" t="str">
        <x:v>9.7 / 10.7 / 11.5-11.6 / 14.1-14.4,14.7</x:v>
      </x:c>
      <x:c r="D26" s="4" t="str">
        <x:v>真实积分/考核双轨100%、售后响应、质保、培训与费用边界不是靠代码生成可证明。</x:v>
      </x:c>
      <x:c r="E26" s="4" t="str">
        <x:v>本轮未施工</x:v>
      </x:c>
      <x:c r="F26" s="4" t="str">
        <x:v>保留原审计问题，不用别的功能代替。</x:v>
      </x:c>
      <x:c r="G26" s="4" t="str">
        <x:v>采购PDF原文；当前未取得学校样本或服务履约凭据</x:v>
      </x:c>
      <x:c r="H26" s="4" t="str">
        <x:v>学校签认的脱敏样本比对、验收/培训记录、服务渠道与响应制度。</x:v>
      </x:c>
      <x:c r="I26" s="13" t="str">
        <x:v>否</x:v>
      </x:c>
    </x:row>
  </x:sheetData>
  <x:conditionalFormatting sqref="E2:E26">
    <x:cfRule type="expression" dxfId="0" priority="1">
      <x:formula>ISNUMBER(SEARCH("回归通过",E2))</x:formula>
    </x:cfRule>
  </x:conditionalFormatting>
  <x:dataValidations count="1">
    <x:dataValidation type="list" sqref="E2:E26">
      <x:formula1>"部分推进,本轮未施工,文案纠偏,已改待集成,已改待浏览器,模块回归通过,部分回归通过,编排回归通过"</x:formula1>
    </x:dataValidation>
  </x:dataValidations>
  <x:pageMargins left="0.7" right="0.7" top="0.75" bottom="0.75" header="0.3" footer="0.3"/>
  <x:tableParts count="1">
    <x:tablePart xmlns:r="http://schemas.openxmlformats.org/officeDocument/2006/relationships" r:id="R0f39550f403d43b6"/>
  </x:tableParts>
</x:worksheet>
</file>

<file path=xl/worksheets/sheet3.xml><?xml version="1.0" encoding="utf-8"?>
<x:worksheet xmlns:x="http://schemas.openxmlformats.org/spreadsheetml/2006/main">
  <x:sheetFormatPr defaultRowHeight="15"/>
  <x:cols>
    <x:col min="1" max="1" width="10" hidden="0" customWidth="1"/>
    <x:col min="2" max="2" width="28" hidden="0" customWidth="1"/>
    <x:col min="3" max="3" width="9" hidden="0" customWidth="1"/>
    <x:col min="4" max="4" width="46" hidden="0" customWidth="1"/>
    <x:col min="5" max="5" width="15" hidden="0" customWidth="1"/>
    <x:col min="6" max="6" width="38" hidden="0" customWidth="1"/>
    <x:col min="7" max="7" width="26" hidden="0" customWidth="1"/>
    <x:col min="8" max="8" width="42" hidden="0" customWidth="1"/>
  </x:cols>
  <x:sheetData>
    <x:row r="1" ht="34" customHeight="1">
      <x:c r="A1" s="9" t="str">
        <x:v>PDF条款</x:v>
      </x:c>
      <x:c r="B1" s="9" t="str">
        <x:v>采购项目</x:v>
      </x:c>
      <x:c r="C1" s="9" t="str">
        <x:v>PDF页码</x:v>
      </x:c>
      <x:c r="D1" s="9" t="str">
        <x:v>采购原文（沿用审计录入）</x:v>
      </x:c>
      <x:c r="E1" s="9" t="str">
        <x:v>关联问题</x:v>
      </x:c>
      <x:c r="F1" s="9" t="str">
        <x:v>本轮涉及阶段</x:v>
      </x:c>
      <x:c r="G1" s="9" t="str">
        <x:v>原审计判断（未冒改为通过）</x:v>
      </x:c>
      <x:c r="H1" s="9" t="str">
        <x:v>完整条款后续核验</x:v>
      </x:c>
    </x:row>
    <x:row r="2" ht="116" customHeight="1">
      <x:c r="A2" s="4" t="str">
        <x:v>1.1</x:v>
      </x:c>
      <x:c r="B2" s="4" t="str">
        <x:v>平台基础与门户功能</x:v>
      </x:c>
      <x:c r="C2" s="4" t="str">
        <x:v>1</x:v>
      </x:c>
      <x:c r="D2" s="4" t="str">
        <x:v>建设PC 端非学历教育智慧平台统一门户，作为教师、教研室、二级学院和学校管理部门进入系统后的统一工作入口，统一承载个人数据、管理审核、统计分析和系统配置等业务访问。</x:v>
      </x:c>
      <x:c r="E2" s="4" t="str">
        <x:v>D01</x:v>
      </x:c>
      <x:c r="F2" s="4" t="str">
        <x:v>D01 部分推进</x:v>
      </x:c>
      <x:c r="G2" s="4" t="str">
        <x:v>静态部分对齐</x:v>
      </x:c>
      <x:c r="H2" s="4" t="str">
        <x:v>恢复同一版本正式工程，四角色登录检查工作入口。</x:v>
      </x:c>
    </x:row>
    <x:row r="3" ht="116" customHeight="1">
      <x:c r="A3" s="4" t="str">
        <x:v>1.2</x:v>
      </x:c>
      <x:c r="B3" s="4" t="str">
        <x:v>平台基础与门户功能</x:v>
      </x:c>
      <x:c r="C3" s="4" t="str">
        <x:v>1</x:v>
      </x:c>
      <x:c r="D3" s="4" t="str">
        <x:v>门户需提供首页、导航菜单、政策通知、数据入口、搜索筛选、待办提醒等基础功能，并按照不同用户角色和权限展示相应菜单、数据范围和业务入口。</x:v>
      </x:c>
      <x:c r="E3" s="4" t="str">
        <x:v>D01,D21</x:v>
      </x:c>
      <x:c r="F3" s="4" t="str">
        <x:v>D01 部分推进；D21 本轮未施工</x:v>
      </x:c>
      <x:c r="G3" s="4" t="str">
        <x:v>静态部分对齐</x:v>
      </x:c>
      <x:c r="H3" s="4" t="str">
        <x:v>按角色验证所有入口；区分菜单搜索与业务搜索，不强加采购未写的全局全文检索。</x:v>
      </x:c>
    </x:row>
    <x:row r="4" ht="116" customHeight="1">
      <x:c r="A4" s="4" t="str">
        <x:v>1.3</x:v>
      </x:c>
      <x:c r="B4" s="4" t="str">
        <x:v>平台基础与门户功能</x:v>
      </x:c>
      <x:c r="C4" s="4" t="str">
        <x:v>1</x:v>
      </x:c>
      <x:c r="D4" s="4" t="str">
        <x:v>首页需集中呈现与当前用户相关的核心指标、快捷入口、政策通知、待办事项和业务动态，减少用户在不同页面和系统之间反复切换。</x:v>
      </x:c>
      <x:c r="E4" s="4" t="str">
        <x:v>D01,D10</x:v>
      </x:c>
      <x:c r="F4" s="4" t="str">
        <x:v>D01 部分推进；D10 部分推进</x:v>
      </x:c>
      <x:c r="G4" s="4" t="str">
        <x:v>静态部分对齐</x:v>
      </x:c>
      <x:c r="H4" s="4" t="str">
        <x:v>验证首页所有数据可加载且仅展示本人/授权组织。</x:v>
      </x:c>
    </x:row>
    <x:row r="5" ht="116" customHeight="1">
      <x:c r="A5" s="4" t="str">
        <x:v>1.4</x:v>
      </x:c>
      <x:c r="B5" s="4" t="str">
        <x:v>平台基础与门户功能</x:v>
      </x:c>
      <x:c r="C5" s="4" t="str">
        <x:v>1</x:v>
      </x:c>
      <x:c r="D5" s="4" t="str">
        <x:v>消息待办需覆盖审核待办、数据同步异常、教师资质到期、考核确认等事项，并支持由待办事项直接跳转至对应业务详情进行处理。</x:v>
      </x:c>
      <x:c r="E5" s="4" t="str">
        <x:v>D01,D22</x:v>
      </x:c>
      <x:c r="F5" s="4" t="str">
        <x:v>D01 部分推进；D22 部分推进</x:v>
      </x:c>
      <x:c r="G5" s="4" t="str">
        <x:v>仅有界面入口</x:v>
      </x:c>
      <x:c r="H5" s="4" t="str">
        <x:v>分别制造审核、同步异常、到期、考核确认事件，验证跳到正确对象。</x:v>
      </x:c>
    </x:row>
    <x:row r="6" ht="116" customHeight="1">
      <x:c r="A6" s="4" t="str">
        <x:v>1.5</x:v>
      </x:c>
      <x:c r="B6" s="4" t="str">
        <x:v>平台基础与门户功能</x:v>
      </x:c>
      <x:c r="C6" s="4" t="str">
        <x:v>1</x:v>
      </x:c>
      <x:c r="D6" s="4" t="str">
        <x:v>平台门户应保持统一的页面布局、导航方式和交互规范，页面展示的数据需与业务明细、统计结果及权限范围保持一致。</x:v>
      </x:c>
      <x:c r="E6" s="4" t="str">
        <x:v>D05,D06</x:v>
      </x:c>
      <x:c r="F6" s="4" t="str">
        <x:v>D05 已改待集成；D06 已改待浏览器</x:v>
      </x:c>
      <x:c r="G6" s="4" t="str">
        <x:v>已发现差异</x:v>
      </x:c>
      <x:c r="H6" s="4" t="str">
        <x:v>使指标、明细、考核展示范围一致；筛选不得重算正式成绩。</x:v>
      </x:c>
    </x:row>
    <x:row r="7" ht="116" customHeight="1">
      <x:c r="A7" s="4" t="str">
        <x:v>1.6</x:v>
      </x:c>
      <x:c r="B7" s="4" t="str">
        <x:v>平台基础与门户功能</x:v>
      </x:c>
      <x:c r="C7" s="4" t="str">
        <x:v>1</x:v>
      </x:c>
      <x:c r="D7" s="4" t="str">
        <x:v>项目交付时需完成门户页面、菜单导航、政策通知、搜索筛选、消息待办等功能配置，并提供相应的用户操作说明。</x:v>
      </x:c>
      <x:c r="E7" s="4" t="str">
        <x:v>D22,D24</x:v>
      </x:c>
      <x:c r="F7" s="4" t="str">
        <x:v>D22 部分推进；D24 部分推进</x:v>
      </x:c>
      <x:c r="G7" s="4" t="str">
        <x:v>缺少实现证据</x:v>
      </x:c>
      <x:c r="H7" s="4" t="str">
        <x:v>补正式页面验收与对应操作手册，不以历史记录替代。</x:v>
      </x:c>
    </x:row>
    <x:row r="8" ht="116" customHeight="1">
      <x:c r="A8" s="4" t="str">
        <x:v>2.1</x:v>
      </x:c>
      <x:c r="B8" s="4" t="str">
        <x:v>统一认证与组织权限管理</x:v>
      </x:c>
      <x:c r="C8" s="4" t="str">
        <x:v>1</x:v>
      </x:c>
      <x:c r="D8" s="4" t="str">
        <x:v>完成与学校统一认证系统的接口对接，实现单点登录、登录状态校验、用户身份获取、异常提示和退出登录等认证能力。</x:v>
      </x:c>
      <x:c r="E8" s="4" t="str">
        <x:v>D03</x:v>
      </x:c>
      <x:c r="F8" s="4" t="str">
        <x:v>D03 文案纠偏</x:v>
      </x:c>
      <x:c r="G8" s="4" t="str">
        <x:v>待外部联调</x:v>
      </x:c>
      <x:c r="H8" s="4" t="str">
        <x:v>先核对适配层，再由学校提供地址/协议/鉴权，验证登录校验与退出。</x:v>
      </x:c>
    </x:row>
    <x:row r="9" ht="116" customHeight="1">
      <x:c r="A9" s="4" t="str">
        <x:v>2.2</x:v>
      </x:c>
      <x:c r="B9" s="4" t="str">
        <x:v>统一认证与组织权限管理</x:v>
      </x:c>
      <x:c r="C9" s="4" t="str">
        <x:v>1</x:v>
      </x:c>
      <x:c r="D9" s="4" t="str">
        <x:v>建立教师、教研室、二级学院、学校管理部门四级角色模型，并结合用户身份和组织归属加载相应的系统菜单、操作权限和数据范围。</x:v>
      </x:c>
      <x:c r="E9" s="4" t="str">
        <x:v>D01,D21</x:v>
      </x:c>
      <x:c r="F9" s="4" t="str">
        <x:v>D01 部分推进；D21 本轮未施工</x:v>
      </x:c>
      <x:c r="G9" s="4" t="str">
        <x:v>静态部分对齐</x:v>
      </x:c>
      <x:c r="H9" s="4" t="str">
        <x:v>四级菜单、操作和数据范围分别正反向测试。</x:v>
      </x:c>
    </x:row>
    <x:row r="10" ht="116" customHeight="1">
      <x:c r="A10" s="4" t="str">
        <x:v>2.3</x:v>
      </x:c>
      <x:c r="B10" s="4" t="str">
        <x:v>统一认证与组织权限管理</x:v>
      </x:c>
      <x:c r="C10" s="4" t="str">
        <x:v>1</x:v>
      </x:c>
      <x:c r="D10" s="4" t="str">
        <x:v>权限控制需覆盖菜单权限、操作权限、数据权限和导出权限；教师仅访问本人数据，教研室访问本教研室数据，二级学院访问本学院数据，学校管理部门按授权访问全校数据并进行统筹配置。</x:v>
      </x:c>
      <x:c r="E10" s="4" t="str">
        <x:v>D21</x:v>
      </x:c>
      <x:c r="F10" s="4" t="str">
        <x:v>D21 本轮未施工</x:v>
      </x:c>
      <x:c r="G10" s="4" t="str">
        <x:v>静态部分对齐</x:v>
      </x:c>
      <x:c r="H10" s="4" t="str">
        <x:v>直接调用越权详情、导出、旧文件下载；不得以隐藏按钮证明安全。</x:v>
      </x:c>
    </x:row>
    <x:row r="11" ht="116" customHeight="1">
      <x:c r="A11" s="4" t="str">
        <x:v>2.4</x:v>
      </x:c>
      <x:c r="B11" s="4" t="str">
        <x:v>统一认证与组织权限管理</x:v>
      </x:c>
      <x:c r="C11" s="4" t="str">
        <x:v>1</x:v>
      </x:c>
      <x:c r="D11" s="4" t="str">
        <x:v>统一认证获取的账号、姓名、组织、角色或身份标识等信息需与平台用户和组织信息建立对应关系，保证登录身份、组织范围和业务数据关联一致。</x:v>
      </x:c>
      <x:c r="E11" s="4" t="str">
        <x:v>D03,D21</x:v>
      </x:c>
      <x:c r="F11" s="4" t="str">
        <x:v>D03 文案纠偏；D21 本轮未施工</x:v>
      </x:c>
      <x:c r="G11" s="4" t="str">
        <x:v>缺少实现证据</x:v>
      </x:c>
      <x:c r="H11" s="4" t="str">
        <x:v>核对外部稳定标识、工号、组织角色映射及冲突处理；需学校身份字段。</x:v>
      </x:c>
    </x:row>
    <x:row r="12" ht="116" customHeight="1">
      <x:c r="A12" s="4" t="str">
        <x:v>2.5</x:v>
      </x:c>
      <x:c r="B12" s="4" t="str">
        <x:v>统一认证与组织权限管理</x:v>
      </x:c>
      <x:c r="C12" s="4" t="str">
        <x:v>1</x:v>
      </x:c>
      <x:c r="D12" s="4" t="str">
        <x:v>对异常登录、无权限访问、越权操作等情况需进行拦截或提示并形成安全审计记录；权限越权测试应做到零通过。</x:v>
      </x:c>
      <x:c r="E12" s="4" t="str">
        <x:v>D21,D22</x:v>
      </x:c>
      <x:c r="F12" s="4" t="str">
        <x:v>D21 本轮未施工；D22 部分推进</x:v>
      </x:c>
      <x:c r="G12" s="4" t="str">
        <x:v>缺少实现证据</x:v>
      </x:c>
      <x:c r="H12" s="4" t="str">
        <x:v>验证匿名、横向、纵向、停用/改密后旧会话，并检查审计记录。</x:v>
      </x:c>
    </x:row>
    <x:row r="13" ht="116" customHeight="1">
      <x:c r="A13" s="4" t="str">
        <x:v>2.6</x:v>
      </x:c>
      <x:c r="B13" s="4" t="str">
        <x:v>统一认证与组织权限管理</x:v>
      </x:c>
      <x:c r="C13" s="4" t="str">
        <x:v>2</x:v>
      </x:c>
      <x:c r="D13" s="4" t="str">
        <x:v>项目实施过程中需完成统一认证接口参数、身份字段、角色映射和权限范围确认，并形成接口配置及权限配置说明。</x:v>
      </x:c>
      <x:c r="E13" s="4" t="str">
        <x:v>D03</x:v>
      </x:c>
      <x:c r="F13" s="4" t="str">
        <x:v>D03 文案纠偏</x:v>
      </x:c>
      <x:c r="G13" s="4" t="str">
        <x:v>待外部联调</x:v>
      </x:c>
      <x:c r="H13" s="4" t="str">
        <x:v>保留待对接状态，完成学校签认接口/身份/权限配置说明。</x:v>
      </x:c>
    </x:row>
    <x:row r="14" ht="116" customHeight="1">
      <x:c r="A14" s="4" t="str">
        <x:v>2.7</x:v>
      </x:c>
      <x:c r="B14" s="4" t="str">
        <x:v>统一认证与组织权限管理</x:v>
      </x:c>
      <x:c r="C14" s="4" t="str">
        <x:v>2</x:v>
      </x:c>
      <x:c r="D14" s="4" t="str">
        <x:v>权限配置应支持按角色进行批量授权，并支持复制已有角色的菜单权限、操作权限和数据权限配置，提高权限初始化和调整效率。</x:v>
      </x:c>
      <x:c r="E14" s="4" t="str">
        <x:v>D21</x:v>
      </x:c>
      <x:c r="F14" s="4" t="str">
        <x:v>D21 本轮未施工</x:v>
      </x:c>
      <x:c r="G14" s="4" t="str">
        <x:v>仅有界面入口</x:v>
      </x:c>
      <x:c r="H14" s="4" t="str">
        <x:v>复制角色后读回菜单/操作/数据范围配置，检验不可超授权复制。</x:v>
      </x:c>
    </x:row>
    <x:row r="15" ht="116" customHeight="1">
      <x:c r="A15" s="4" t="str">
        <x:v>2.8</x:v>
      </x:c>
      <x:c r="B15" s="4" t="str">
        <x:v>统一认证与组织权限管理</x:v>
      </x:c>
      <x:c r="C15" s="4" t="str">
        <x:v>2</x:v>
      </x:c>
      <x:c r="D15" s="4" t="str">
        <x:v>当用户所属组织或角色发生调整后，相应的数据访问范围应能够随组织或角色关系同步更新，无需逐用户重复配置数据权限。</x:v>
      </x:c>
      <x:c r="E15" s="4" t="str">
        <x:v>D21</x:v>
      </x:c>
      <x:c r="F15" s="4" t="str">
        <x:v>D21 本轮未施工</x:v>
      </x:c>
      <x:c r="G15" s="4" t="str">
        <x:v>静态部分对齐</x:v>
      </x:c>
      <x:c r="H15" s="4" t="str">
        <x:v>转组织/换角色后用旧会话、旧导出测试权限即时更新。</x:v>
      </x:c>
    </x:row>
    <x:row r="16" ht="116" customHeight="1">
      <x:c r="A16" s="4" t="str">
        <x:v>3.1</x:v>
      </x:c>
      <x:c r="B16" s="4" t="str">
        <x:v>基础配置、字典管理</x:v>
      </x:c>
      <x:c r="C16" s="4" t="str">
        <x:v>2</x:v>
      </x:c>
      <x:c r="D16" s="4" t="str">
        <x:v>提供平台运行所需的基础配置和字典管理能力，用于维护系统参数、业务字典、状态值、考核周期及其他可配置基础数据。</x:v>
      </x:c>
      <x:c r="E16" s="4" t="str">
        <x:v>D15</x:v>
      </x:c>
      <x:c r="F16" s="4" t="str">
        <x:v>D15 本轮未施工</x:v>
      </x:c>
      <x:c r="G16" s="4" t="str">
        <x:v>已发现差异</x:v>
      </x:c>
      <x:c r="H16" s="4" t="str">
        <x:v>盘点采购需要的业务字典/状态显示/周期/运行参数；扩配置覆盖但不开放任意状态流转。</x:v>
      </x:c>
    </x:row>
    <x:row r="17" ht="116" customHeight="1">
      <x:c r="A17" s="4" t="str">
        <x:v>3.2</x:v>
      </x:c>
      <x:c r="B17" s="4" t="str">
        <x:v>基础配置、字典管理</x:v>
      </x:c>
      <x:c r="C17" s="4" t="str">
        <x:v>2</x:v>
      </x:c>
      <x:c r="D17" s="4" t="str">
        <x:v>基础配置应采用配置化方式管理，满足平台上线初始化以及后续业务规则、展示口径和运行参数合理调整的需要。</x:v>
      </x:c>
      <x:c r="E17" s="4" t="str">
        <x:v>D08,D09</x:v>
      </x:c>
      <x:c r="F17" s="4" t="str">
        <x:v>D08 本轮未施工；D09 本轮未施工</x:v>
      </x:c>
      <x:c r="G17" s="4" t="str">
        <x:v>待学校业务确认</x:v>
      </x:c>
      <x:c r="H17" s="4" t="str">
        <x:v>拿学校规则逐一匹配支持范围，缺哪种公式再增加受控配置。</x:v>
      </x:c>
    </x:row>
    <x:row r="18" ht="116" customHeight="1">
      <x:c r="A18" s="4" t="str">
        <x:v>3.3</x:v>
      </x:c>
      <x:c r="B18" s="4" t="str">
        <x:v>基础配置、字典管理</x:v>
      </x:c>
      <x:c r="C18" s="4" t="str">
        <x:v>2</x:v>
      </x:c>
      <x:c r="D18" s="4" t="str">
        <x:v>支持对组织机构、角色权限、字典项、考核周期、系统参数、管理员账号和接口参数等上线基础信息进行初始化配置。</x:v>
      </x:c>
      <x:c r="E18" s="4" t="str">
        <x:v>D01,D19</x:v>
      </x:c>
      <x:c r="F18" s="4" t="str">
        <x:v>D01 部分推进；D19 编排回归通过</x:v>
      </x:c>
      <x:c r="G18" s="4" t="str">
        <x:v>仅有界面入口</x:v>
      </x:c>
      <x:c r="H18" s="4" t="str">
        <x:v>空业务库完成组织、角色、字典、周期、管理员、接口参数初始化。</x:v>
      </x:c>
    </x:row>
    <x:row r="19" ht="116" customHeight="1">
      <x:c r="A19" s="4" t="str">
        <x:v>3.4</x:v>
      </x:c>
      <x:c r="B19" s="4" t="str">
        <x:v>基础配置、字典管理</x:v>
      </x:c>
      <x:c r="C19" s="4" t="str">
        <x:v>2</x:v>
      </x:c>
      <x:c r="D19" s="4" t="str">
        <x:v>基础字典和参数调整后应能够在相关业务页面、统计口径和接口处理中统一生效，避免同一业务含义在不同模块出现不一致。</x:v>
      </x:c>
      <x:c r="E19" s="4" t="str">
        <x:v>D05,D08,D15</x:v>
      </x:c>
      <x:c r="F19" s="4" t="str">
        <x:v>D05 已改待集成；D08 本轮未施工；D15 本轮未施工</x:v>
      </x:c>
      <x:c r="G19" s="4" t="str">
        <x:v>已发现差异</x:v>
      </x:c>
      <x:c r="H19" s="4" t="str">
        <x:v>把展示说明与可执行口径区分，所有页面共用核验后的指标服务。</x:v>
      </x:c>
    </x:row>
    <x:row r="20" ht="116" customHeight="1">
      <x:c r="A20" s="4" t="str">
        <x:v>3.5</x:v>
      </x:c>
      <x:c r="B20" s="4" t="str">
        <x:v>基础配置、字典管理</x:v>
      </x:c>
      <x:c r="C20" s="4" t="str">
        <x:v>2</x:v>
      </x:c>
      <x:c r="D20" s="4" t="str">
        <x:v>对涉及考核、权限、接口等关键配置的新增、修改和调整需保留操作人、操作时间、调整前值、调整后值及调整原因等记录。</x:v>
      </x:c>
      <x:c r="E20" s="4" t="str">
        <x:v>D18</x:v>
      </x:c>
      <x:c r="F20" s="4" t="str">
        <x:v>D18 部分回归通过</x:v>
      </x:c>
      <x:c r="G20" s="4" t="str">
        <x:v>静态部分对齐</x:v>
      </x:c>
      <x:c r="H20" s="4" t="str">
        <x:v>每类关键配置变更检查前后值、人员、时间、原因和失败回滚。</x:v>
      </x:c>
    </x:row>
    <x:row r="21" ht="116" customHeight="1">
      <x:c r="A21" s="4" t="str">
        <x:v>3.6</x:v>
      </x:c>
      <x:c r="B21" s="4" t="str">
        <x:v>基础配置、字典管理</x:v>
      </x:c>
      <x:c r="C21" s="4" t="str">
        <x:v>2</x:v>
      </x:c>
      <x:c r="D21" s="4" t="str">
        <x:v>项目交付时需形成平台基础参数、字典项和初始化配置清单。</x:v>
      </x:c>
      <x:c r="E21" s="4" t="str">
        <x:v>D24</x:v>
      </x:c>
      <x:c r="F21" s="4" t="str">
        <x:v>D24 部分推进</x:v>
      </x:c>
      <x:c r="G21" s="4" t="str">
        <x:v>缺少实现证据</x:v>
      </x:c>
      <x:c r="H21" s="4" t="str">
        <x:v>导出本校实际基础参数、字典项和初始化状态清单。</x:v>
      </x:c>
    </x:row>
    <x:row r="22" ht="116" customHeight="1">
      <x:c r="A22" s="4" t="str">
        <x:v>4.1</x:v>
      </x:c>
      <x:c r="B22" s="4" t="str">
        <x:v>学校数据中台对接</x:v>
      </x:c>
      <x:c r="C22" s="4" t="str">
        <x:v>2</x:v>
      </x:c>
      <x:c r="D22" s="4" t="str">
        <x:v>对接学校数据中台，接入教师人事信息、培训收入数据、课程人次数据、培训项目基础信息、课程基础信息等平台建设所需数据。</x:v>
      </x:c>
      <x:c r="E22" s="4" t="str">
        <x:v>D03,D04</x:v>
      </x:c>
      <x:c r="F22" s="4" t="str">
        <x:v>D03 文案纠偏；D04 本轮未施工</x:v>
      </x:c>
      <x:c r="G22" s="4" t="str">
        <x:v>缺少实现证据</x:v>
      </x:c>
      <x:c r="H22" s="4" t="str">
        <x:v>核对五类数据契约、外部主键、落库位置和幂等键；不得只接入有授课流水的数据。</x:v>
      </x:c>
    </x:row>
    <x:row r="23" ht="116" customHeight="1">
      <x:c r="A23" s="4" t="str">
        <x:v>4.2</x:v>
      </x:c>
      <x:c r="B23" s="4" t="str">
        <x:v>学校数据中台对接</x:v>
      </x:c>
      <x:c r="C23" s="4" t="str">
        <x:v>2</x:v>
      </x:c>
      <x:c r="D23" s="4" t="str">
        <x:v>接口开发前需由采购人、供应商及相关系统责任方共同确认接口清单、字段字典、数据提供方式、同步频率、历史数据范围及接口责任边界，并形成书面确认清单。</x:v>
      </x:c>
      <x:c r="E23" s="4" t="str">
        <x:v>D03</x:v>
      </x:c>
      <x:c r="F23" s="4" t="str">
        <x:v>D03 文案纠偏</x:v>
      </x:c>
      <x:c r="G23" s="4" t="str">
        <x:v>待外部联调</x:v>
      </x:c>
      <x:c r="H23" s="4" t="str">
        <x:v>学校与数据责任方共同签认接口清单；不自行猜测接口。</x:v>
      </x:c>
    </x:row>
    <x:row r="24" ht="116" customHeight="1">
      <x:c r="A24" s="4" t="str">
        <x:v>4.3</x:v>
      </x:c>
      <x:c r="B24" s="4" t="str">
        <x:v>学校数据中台对接</x:v>
      </x:c>
      <x:c r="C24" s="4" t="str">
        <x:v>2</x:v>
      </x:c>
      <x:c r="D24" s="4" t="str">
        <x:v>对接数据需完成字段映射、数据清洗、规则校验、敏感数据脱敏和入库处理，形成可供教师工作台、分级管理、资质、积分、考核和统计分析使用的数据底座。</x:v>
      </x:c>
      <x:c r="E24" s="4" t="str">
        <x:v>D03,D04</x:v>
      </x:c>
      <x:c r="F24" s="4" t="str">
        <x:v>D03 文案纠偏；D04 本轮未施工</x:v>
      </x:c>
      <x:c r="G24" s="4" t="str">
        <x:v>缺少实现证据</x:v>
      </x:c>
      <x:c r="H24" s="4" t="str">
        <x:v>逐条验证映射、非法值、组织归属、敏感数据、幂等入库和回执。</x:v>
      </x:c>
    </x:row>
    <x:row r="25" ht="116" customHeight="1">
      <x:c r="A25" s="4" t="str">
        <x:v>4.4</x:v>
      </x:c>
      <x:c r="B25" s="4" t="str">
        <x:v>学校数据中台对接</x:v>
      </x:c>
      <x:c r="C25" s="4" t="str">
        <x:v>3</x:v>
      </x:c>
      <x:c r="D25" s="4" t="str">
        <x:v>数据接入应支持全量初始化、增量同步、定时同步和人工触发等模式；同步失败时应支持自动重试、异常记录、人工补采及必要的数据恢复/回滚处理。</x:v>
      </x:c>
      <x:c r="E25" s="4" t="str">
        <x:v>D03</x:v>
      </x:c>
      <x:c r="F25" s="4" t="str">
        <x:v>D03 文案纠偏</x:v>
      </x:c>
      <x:c r="G25" s="4" t="str">
        <x:v>缺少实现证据</x:v>
      </x:c>
      <x:c r="H25" s="4" t="str">
        <x:v>核对worker/adapter并分别执行同步模式、失败重试、补采和安全回滚。</x:v>
      </x:c>
    </x:row>
    <x:row r="26" ht="116" customHeight="1">
      <x:c r="A26" s="4" t="str">
        <x:v>4.5</x:v>
      </x:c>
      <x:c r="B26" s="4" t="str">
        <x:v>学校数据中台对接</x:v>
      </x:c>
      <x:c r="C26" s="4" t="str">
        <x:v>3</x:v>
      </x:c>
      <x:c r="D26" s="4" t="str">
        <x:v>数据接入过程需记录采集批次、处理状态、成功数量、失败数量、数据质量问题和异常处理状态；对字段缺失、格式异常、重复数据、组织归属异常等问题需具备识别、定位和处理能力。</x:v>
      </x:c>
      <x:c r="E26" s="4" t="str">
        <x:v>D03,D23</x:v>
      </x:c>
      <x:c r="F26" s="4" t="str">
        <x:v>D03 文案纠偏；D23 本轮未施工</x:v>
      </x:c>
      <x:c r="G26" s="4" t="str">
        <x:v>静态部分对齐</x:v>
      </x:c>
      <x:c r="H26" s="4" t="str">
        <x:v>用缺字段、重复、格式错、错误组织样本检查成功失败数和问题处理状态。</x:v>
      </x:c>
    </x:row>
    <x:row r="27" ht="116" customHeight="1">
      <x:c r="A27" s="4" t="str">
        <x:v>4.6</x:v>
      </x:c>
      <x:c r="B27" s="4" t="str">
        <x:v>学校数据中台对接</x:v>
      </x:c>
      <x:c r="C27" s="4" t="str">
        <x:v>3</x:v>
      </x:c>
      <x:c r="D27" s="4" t="str">
        <x:v>接口需明确地址、请求方式、鉴权方式、参数结构、字段映射、返回结果、异常编码和重试策略；在正式开发前应选取脱敏真实数据完成连通性、字段映射和数据处理验证。</x:v>
      </x:c>
      <x:c r="E27" s="4" t="str">
        <x:v>D03</x:v>
      </x:c>
      <x:c r="F27" s="4" t="str">
        <x:v>D03 文案纠偏</x:v>
      </x:c>
      <x:c r="G27" s="4" t="str">
        <x:v>待外部联调</x:v>
      </x:c>
      <x:c r="H27" s="4" t="str">
        <x:v>确认协议/参数/错误/重试并执行真实脱敏样本联调。</x:v>
      </x:c>
    </x:row>
    <x:row r="28" ht="116" customHeight="1">
      <x:c r="A28" s="4" t="str">
        <x:v>4.7</x:v>
      </x:c>
      <x:c r="B28" s="4" t="str">
        <x:v>学校数据中台对接</x:v>
      </x:c>
      <x:c r="C28" s="4" t="str">
        <x:v>3</x:v>
      </x:c>
      <x:c r="D28" s="4" t="str">
        <x:v>项目实施完成后需形成数据中台接口清单、字段映射关系、数据字典、数据处理说明、数据质量责任说明和联调记录等成果。</x:v>
      </x:c>
      <x:c r="E28" s="4" t="str">
        <x:v>D03,D24</x:v>
      </x:c>
      <x:c r="F28" s="4" t="str">
        <x:v>D03 文案纠偏；D24 部分推进</x:v>
      </x:c>
      <x:c r="G28" s="4" t="str">
        <x:v>缺少实现证据</x:v>
      </x:c>
      <x:c r="H28" s="4" t="str">
        <x:v>形成与实际适配版本一致的材料，未联调项明确待办。</x:v>
      </x:c>
    </x:row>
    <x:row r="29" ht="116" customHeight="1">
      <x:c r="A29" s="4" t="str">
        <x:v>4.8</x:v>
      </x:c>
      <x:c r="B29" s="4" t="str">
        <x:v>学校数据中台对接</x:v>
      </x:c>
      <x:c r="C29" s="4" t="str">
        <x:v>3</x:v>
      </x:c>
      <x:c r="D29" s="4" t="str">
        <x:v>支持接口字段映射关系配置，可维护源字段、目标字段、转换规则、默认值等映射内容，并可查询当前生效的字段映射配置。</x:v>
      </x:c>
      <x:c r="E29" s="4" t="str">
        <x:v>D03</x:v>
      </x:c>
      <x:c r="F29" s="4" t="str">
        <x:v>D03 文案纠偏</x:v>
      </x:c>
      <x:c r="G29" s="4" t="str">
        <x:v>仅有界面入口</x:v>
      </x:c>
      <x:c r="H29" s="4" t="str">
        <x:v>验证保存、版本读取、转换校验、默认值与当前生效规则。</x:v>
      </x:c>
    </x:row>
    <x:row r="30" ht="116" customHeight="1">
      <x:c r="A30" s="4" t="str">
        <x:v>4.9</x:v>
      </x:c>
      <x:c r="B30" s="4" t="str">
        <x:v>学校数据中台对接</x:v>
      </x:c>
      <x:c r="C30" s="4" t="str">
        <x:v>3</x:v>
      </x:c>
      <x:c r="D30" s="4" t="str">
        <x:v>支持按接口或数据类型查询最近一次同步时间、同步状态、成功数量、失败数量及失败原因，便于快速核查数据同步情况。</x:v>
      </x:c>
      <x:c r="E30" s="4" t="str">
        <x:v>D03</x:v>
      </x:c>
      <x:c r="F30" s="4" t="str">
        <x:v>D03 文案纠偏</x:v>
      </x:c>
      <x:c r="G30" s="4" t="str">
        <x:v>已发现差异</x:v>
      </x:c>
      <x:c r="H30" s="4" t="str">
        <x:v>改读连接运行状态；展示最后同步时间、成功失败数、错误和恢复结果。</x:v>
      </x:c>
    </x:row>
    <x:row r="31" ht="116" customHeight="1">
      <x:c r="A31" s="4" t="str">
        <x:v>5.1</x:v>
      </x:c>
      <x:c r="B31" s="4" t="str">
        <x:v>教师工作台与个人数据看板</x:v>
      </x:c>
      <x:c r="C31" s="4" t="str">
        <x:v>3</x:v>
      </x:c>
      <x:c r="D31" s="4" t="str">
        <x:v>建设面向普通教师的个人工作台和个人数据看板，教师登录后仅展示本人权限范围内的非学历教育相关数据和待办事项。</x:v>
      </x:c>
      <x:c r="E31" s="4" t="str">
        <x:v>D21</x:v>
      </x:c>
      <x:c r="F31" s="4" t="str">
        <x:v>D21 本轮未施工</x:v>
      </x:c>
      <x:c r="G31" s="4" t="str">
        <x:v>静态部分对齐</x:v>
      </x:c>
      <x:c r="H31" s="4" t="str">
        <x:v>教师只看本人数据与待办；服务端拒绝直接传他人ID。</x:v>
      </x:c>
    </x:row>
    <x:row r="32" ht="116" customHeight="1">
      <x:c r="A32" s="4" t="str">
        <x:v>5.2</x:v>
      </x:c>
      <x:c r="B32" s="4" t="str">
        <x:v>教师工作台与个人数据看板</x:v>
      </x:c>
      <x:c r="C32" s="4" t="str">
        <x:v>3</x:v>
      </x:c>
      <x:c r="D32" s="4" t="str">
        <x:v>个人工作台需集中展示个人培训收入、课程人次、培训参与记录、授课记录、资质状态、积分明细、最近考核结果等信息。</x:v>
      </x:c>
      <x:c r="E32" s="4" t="str">
        <x:v>D10,D11</x:v>
      </x:c>
      <x:c r="F32" s="4" t="str">
        <x:v>D10 部分推进；D11 本轮未施工</x:v>
      </x:c>
      <x:c r="G32" s="4" t="str">
        <x:v>已发现差异</x:v>
      </x:c>
      <x:c r="H32" s="4" t="str">
        <x:v>明确记录类型与参与角色，最近结果排序及当前周期选择。</x:v>
      </x:c>
    </x:row>
    <x:row r="33" ht="116" customHeight="1">
      <x:c r="A33" s="4" t="str">
        <x:v>5.3</x:v>
      </x:c>
      <x:c r="B33" s="4" t="str">
        <x:v>教师工作台与个人数据看板</x:v>
      </x:c>
      <x:c r="C33" s="4" t="str">
        <x:v>3</x:v>
      </x:c>
      <x:c r="D33" s="4" t="str">
        <x:v>支持按照时间、项目、课程等条件对个人数据进行查询和筛选，并能够从汇总指标查看对应业务明细。</x:v>
      </x:c>
      <x:c r="E33" s="4" t="str">
        <x:v>D06,D10</x:v>
      </x:c>
      <x:c r="F33" s="4" t="str">
        <x:v>D06 已改待浏览器；D10 部分推进</x:v>
      </x:c>
      <x:c r="G33" s="4" t="str">
        <x:v>已发现差异</x:v>
      </x:c>
      <x:c r="H33" s="4" t="str">
        <x:v>工作台按时间/项目/课程筛选并携带相同条件下钻。</x:v>
      </x:c>
    </x:row>
    <x:row r="34" ht="116" customHeight="1">
      <x:c r="A34" s="4" t="str">
        <x:v>5.4</x:v>
      </x:c>
      <x:c r="B34" s="4" t="str">
        <x:v>教师工作台与个人数据看板</x:v>
      </x:c>
      <x:c r="C34" s="4" t="str">
        <x:v>3</x:v>
      </x:c>
      <x:c r="D34" s="4" t="str">
        <x:v>对资质材料补充、考核确认、异常数据核对等需要教师处理的事项，应在工作台或待办区域进行提示并支持跳转处理。</x:v>
      </x:c>
      <x:c r="E34" s="4" t="str">
        <x:v>D22</x:v>
      </x:c>
      <x:c r="F34" s="4" t="str">
        <x:v>D22 部分推进</x:v>
      </x:c>
      <x:c r="G34" s="4" t="str">
        <x:v>仅有界面入口</x:v>
      </x:c>
      <x:c r="H34" s="4" t="str">
        <x:v>教师收到通知后直达对象，办理成功后待办正确关闭。</x:v>
      </x:c>
    </x:row>
    <x:row r="35" ht="116" customHeight="1">
      <x:c r="A35" s="4" t="str">
        <x:v>5.5</x:v>
      </x:c>
      <x:c r="B35" s="4" t="str">
        <x:v>教师工作台与个人数据看板</x:v>
      </x:c>
      <x:c r="C35" s="4" t="str">
        <x:v>3</x:v>
      </x:c>
      <x:c r="D35" s="4" t="str">
        <x:v>教师个人数据展示需遵循统一数据口径和权限控制要求，涉及敏感信息和附件材料时应按授权范围展示。</x:v>
      </x:c>
      <x:c r="E35" s="4" t="str">
        <x:v>D21</x:v>
      </x:c>
      <x:c r="F35" s="4" t="str">
        <x:v>D21 本轮未施工</x:v>
      </x:c>
      <x:c r="G35" s="4" t="str">
        <x:v>缺少实现证据</x:v>
      </x:c>
      <x:c r="H35" s="4" t="str">
        <x:v>检查本人/他人/跨组织附件、导出与敏感字段。</x:v>
      </x:c>
    </x:row>
    <x:row r="36" ht="116" customHeight="1">
      <x:c r="A36" s="4" t="str">
        <x:v>5.6</x:v>
      </x:c>
      <x:c r="B36" s="4" t="str">
        <x:v>教师工作台与个人数据看板</x:v>
      </x:c>
      <x:c r="C36" s="4" t="str">
        <x:v>3</x:v>
      </x:c>
      <x:c r="D36" s="4" t="str">
        <x:v>项目交付时需完成教师个人数据看板、业务明细、待办跳转及相关查询筛选功能。</x:v>
      </x:c>
      <x:c r="E36" s="4" t="str">
        <x:v>D06,D10,D22</x:v>
      </x:c>
      <x:c r="F36" s="4" t="str">
        <x:v>D06 已改待浏览器；D10 部分推进；D22 部分推进</x:v>
      </x:c>
      <x:c r="G36" s="4" t="str">
        <x:v>缺少实现证据</x:v>
      </x:c>
      <x:c r="H36" s="4" t="str">
        <x:v>同版本原生浏览器登录、筛选、下钻和待办流复测。</x:v>
      </x:c>
    </x:row>
    <x:row r="37" ht="116" customHeight="1">
      <x:c r="A37" s="4" t="str">
        <x:v>6.1</x:v>
      </x:c>
      <x:c r="B37" s="4" t="str">
        <x:v>教研室与二级学院管理</x:v>
      </x:c>
      <x:c r="C37" s="4" t="str">
        <x:v>3</x:v>
      </x:c>
      <x:c r="D37" s="4" t="str">
        <x:v>建设面向教研室和二级学院的分级管理功能，按照组织层级自动限定数据查看和业务处理范围。</x:v>
      </x:c>
      <x:c r="E37" s="4" t="str">
        <x:v>D21</x:v>
      </x:c>
      <x:c r="F37" s="4" t="str">
        <x:v>D21 本轮未施工</x:v>
      </x:c>
      <x:c r="G37" s="4" t="str">
        <x:v>静态部分对齐</x:v>
      </x:c>
      <x:c r="H37" s="4" t="str">
        <x:v>教研室/学院分别验证本级、下级和跨级拒绝。</x:v>
      </x:c>
    </x:row>
    <x:row r="38" ht="116" customHeight="1">
      <x:c r="A38" s="4" t="str">
        <x:v>6.2</x:v>
      </x:c>
      <x:c r="B38" s="4" t="str">
        <x:v>教研室与二级学院管理</x:v>
      </x:c>
      <x:c r="C38" s="4" t="str">
        <x:v>4</x:v>
      </x:c>
      <x:c r="D38" s="4" t="str">
        <x:v>教研室需能够查看本教研室教师培训数据、课程人次和考核数据，并对教师相关数据、资质材料和考核事项开展审核、汇总和导出。</x:v>
      </x:c>
      <x:c r="E38" s="4" t="str">
        <x:v>D12,D21</x:v>
      </x:c>
      <x:c r="F38" s="4" t="str">
        <x:v>D12 本轮未施工；D21 本轮未施工</x:v>
      </x:c>
      <x:c r="G38" s="4" t="str">
        <x:v>静态部分对齐</x:v>
      </x:c>
      <x:c r="H38" s="4" t="str">
        <x:v>用负责人账号实际审核、汇总并导出，确认仅本教研室。</x:v>
      </x:c>
    </x:row>
    <x:row r="39" ht="116" customHeight="1">
      <x:c r="A39" s="4" t="str">
        <x:v>6.3</x:v>
      </x:c>
      <x:c r="B39" s="4" t="str">
        <x:v>教研室与二级学院管理</x:v>
      </x:c>
      <x:c r="C39" s="4" t="str">
        <x:v>4</x:v>
      </x:c>
      <x:c r="D39" s="4" t="str">
        <x:v>二级学院需能够按学院维度汇聚培训收入、教师参与、课程人次和考核结果，支持所属教研室及教师数据的分层查看。</x:v>
      </x:c>
      <x:c r="E39" s="4" t="str">
        <x:v>D05,D06,D12</x:v>
      </x:c>
      <x:c r="F39" s="4" t="str">
        <x:v>D05 已改待集成；D06 已改待浏览器；D12 本轮未施工</x:v>
      </x:c>
      <x:c r="G39" s="4" t="str">
        <x:v>静态部分对齐</x:v>
      </x:c>
      <x:c r="H39" s="4" t="str">
        <x:v>学院→教研室→教师三级钻取，检查总数与明细一致。</x:v>
      </x:c>
    </x:row>
    <x:row r="40" ht="116" customHeight="1">
      <x:c r="A40" s="4" t="str">
        <x:v>6.4</x:v>
      </x:c>
      <x:c r="B40" s="4" t="str">
        <x:v>教研室与二级学院管理</x:v>
      </x:c>
      <x:c r="C40" s="4" t="str">
        <x:v>4</x:v>
      </x:c>
      <x:c r="D40" s="4" t="str">
        <x:v>支持按教研室、教师、时间、项目、课程等维度进行统计筛选，并可从汇总结果穿透查看教师和业务明细。</x:v>
      </x:c>
      <x:c r="E40" s="4" t="str">
        <x:v>D06</x:v>
      </x:c>
      <x:c r="F40" s="4" t="str">
        <x:v>D06 已改待浏览器</x:v>
      </x:c>
      <x:c r="G40" s="4" t="str">
        <x:v>已发现差异</x:v>
      </x:c>
      <x:c r="H40" s="4" t="str">
        <x:v>下钻完整携带当前范围，返回保留条件。</x:v>
      </x:c>
    </x:row>
    <x:row r="41" ht="116" customHeight="1">
      <x:c r="A41" s="4" t="str">
        <x:v>6.5</x:v>
      </x:c>
      <x:c r="B41" s="4" t="str">
        <x:v>教研室与二级学院管理</x:v>
      </x:c>
      <x:c r="C41" s="4" t="str">
        <x:v>4</x:v>
      </x:c>
      <x:c r="D41" s="4" t="str">
        <x:v>支持管理过程中的结果确认、审核意见记录、退回处理和报表导出，相关操作应受到组织权限和数据权限控制并保留操作留痕。</x:v>
      </x:c>
      <x:c r="E41" s="4" t="str">
        <x:v>D18,D21</x:v>
      </x:c>
      <x:c r="F41" s="4" t="str">
        <x:v>D18 部分回归通过；D21 本轮未施工</x:v>
      </x:c>
      <x:c r="G41" s="4" t="str">
        <x:v>静态部分对齐</x:v>
      </x:c>
      <x:c r="H41" s="4" t="str">
        <x:v>按本级状态审核；回滚异常事务；导出对象和范围一致。</x:v>
      </x:c>
    </x:row>
    <x:row r="42" ht="116" customHeight="1">
      <x:c r="A42" s="4" t="str">
        <x:v>6.6</x:v>
      </x:c>
      <x:c r="B42" s="4" t="str">
        <x:v>教研室与二级学院管理</x:v>
      </x:c>
      <x:c r="C42" s="4" t="str">
        <x:v>4</x:v>
      </x:c>
      <x:c r="D42" s="4" t="str">
        <x:v>页面需能够反映教研室或学院范围内的关键运行指标、待处理事项和考核进度，为分级管理和审核提供数据支撑。</x:v>
      </x:c>
      <x:c r="E42" s="4" t="str">
        <x:v>D12</x:v>
      </x:c>
      <x:c r="F42" s="4" t="str">
        <x:v>D12 本轮未施工</x:v>
      </x:c>
      <x:c r="G42" s="4" t="str">
        <x:v>已发现差异</x:v>
      </x:c>
      <x:c r="H42" s="4" t="str">
        <x:v>在分级管理页显示本范围处理进度和待办，并跳到详情；可复用既有服务。</x:v>
      </x:c>
    </x:row>
    <x:row r="43" ht="116" customHeight="1">
      <x:c r="A43" s="4" t="str">
        <x:v>7.1</x:v>
      </x:c>
      <x:c r="B43" s="4" t="str">
        <x:v>学校管理驾驶舱</x:v>
      </x:c>
      <x:c r="C43" s="4" t="str">
        <x:v>4</x:v>
      </x:c>
      <x:c r="D43" s="4" t="str">
        <x:v>建设面向学校管理部门的学校管理驾驶舱，集中展示全校非学历教育运行态势和关键管理指标。</x:v>
      </x:c>
      <x:c r="E43" s="4" t="str">
        <x:v>D21</x:v>
      </x:c>
      <x:c r="F43" s="4" t="str">
        <x:v>D21 本轮未施工</x:v>
      </x:c>
      <x:c r="G43" s="4" t="str">
        <x:v>静态部分对齐</x:v>
      </x:c>
      <x:c r="H43" s="4" t="str">
        <x:v>学校账号读取全校授权范围，其他角色直接访问受控。</x:v>
      </x:c>
    </x:row>
    <x:row r="44" ht="116" customHeight="1">
      <x:c r="A44" s="4" t="str">
        <x:v>7.2</x:v>
      </x:c>
      <x:c r="B44" s="4" t="str">
        <x:v>学校管理驾驶舱</x:v>
      </x:c>
      <x:c r="C44" s="4" t="str">
        <x:v>4</x:v>
      </x:c>
      <x:c r="D44" s="4" t="str">
        <x:v>驾驶舱需展示全校培训收入、人次规模、参与教师数、项目课程班级规模、考核结果及省级平台同步状态等综合信息。</x:v>
      </x:c>
      <x:c r="E44" s="4" t="str">
        <x:v>D03,D04,D07</x:v>
      </x:c>
      <x:c r="F44" s="4" t="str">
        <x:v>D03 文案纠偏；D04 本轮未施工；D07 本轮未施工</x:v>
      </x:c>
      <x:c r="G44" s="4" t="str">
        <x:v>已发现差异</x:v>
      </x:c>
      <x:c r="H44" s="4" t="str">
        <x:v>接口状态接运行数据；明确规模是基础项目总量还是期间活跃项目数。</x:v>
      </x:c>
    </x:row>
    <x:row r="45" ht="116" customHeight="1">
      <x:c r="A45" s="4" t="str">
        <x:v>7.3</x:v>
      </x:c>
      <x:c r="B45" s="4" t="str">
        <x:v>学校管理驾驶舱</x:v>
      </x:c>
      <x:c r="C45" s="4" t="str">
        <x:v>4</x:v>
      </x:c>
      <x:c r="D45" s="4" t="str">
        <x:v>支持按二级学院、教研室、时间、项目、课程等维度进行筛选、汇总和对比分析，并能够查看相关业务明细。</x:v>
      </x:c>
      <x:c r="E45" s="4" t="str">
        <x:v>D05,D06</x:v>
      </x:c>
      <x:c r="F45" s="4" t="str">
        <x:v>D05 已改待集成；D06 已改待浏览器</x:v>
      </x:c>
      <x:c r="G45" s="4" t="str">
        <x:v>已发现差异</x:v>
      </x:c>
      <x:c r="H45" s="4" t="str">
        <x:v>统一当前业务范围再统计相关考核，完整带条件下钻。</x:v>
      </x:c>
    </x:row>
    <x:row r="46" ht="116" customHeight="1">
      <x:c r="A46" s="4" t="str">
        <x:v>7.4</x:v>
      </x:c>
      <x:c r="B46" s="4" t="str">
        <x:v>学校管理驾驶舱</x:v>
      </x:c>
      <x:c r="C46" s="4" t="str">
        <x:v>4</x:v>
      </x:c>
      <x:c r="D46" s="4" t="str">
        <x:v>提供学院排行、趋势分析、教师参与情况、考核分布、同步状态等可视化展示，用于辅助学校掌握非学历教育总体运行情况。</x:v>
      </x:c>
      <x:c r="E46" s="4" t="str">
        <x:v>D05,D07</x:v>
      </x:c>
      <x:c r="F46" s="4" t="str">
        <x:v>D05 已改待集成；D07 本轮未施工</x:v>
      </x:c>
      <x:c r="G46" s="4" t="str">
        <x:v>静态部分对齐</x:v>
      </x:c>
      <x:c r="H46" s="4" t="str">
        <x:v>核对需展示的分布定义；同步状态应是真值，负收入趋势不得正柱误导。</x:v>
      </x:c>
    </x:row>
    <x:row r="47" ht="116" customHeight="1">
      <x:c r="A47" s="4" t="str">
        <x:v>7.5</x:v>
      </x:c>
      <x:c r="B47" s="4" t="str">
        <x:v>学校管理驾驶舱</x:v>
      </x:c>
      <x:c r="C47" s="4" t="str">
        <x:v>4</x:v>
      </x:c>
      <x:c r="D47" s="4" t="str">
        <x:v>驾驶舱统计数据需与教师工作台、学院管理、考核管理和接口同步等业务模块保持同源同口径，避免同一指标出现多套统计结果。</x:v>
      </x:c>
      <x:c r="E47" s="4" t="str">
        <x:v>D05</x:v>
      </x:c>
      <x:c r="F47" s="4" t="str">
        <x:v>D05 已改待集成</x:v>
      </x:c>
      <x:c r="G47" s="4" t="str">
        <x:v>已发现差异</x:v>
      </x:c>
      <x:c r="H47" s="4" t="str">
        <x:v>教师、组织、驾驶舱和考核列表共用范围服务；不改正式周期得分。</x:v>
      </x:c>
    </x:row>
    <x:row r="48" ht="116" customHeight="1">
      <x:c r="A48" s="4" t="str">
        <x:v>7.6</x:v>
      </x:c>
      <x:c r="B48" s="4" t="str">
        <x:v>学校管理驾驶舱</x:v>
      </x:c>
      <x:c r="C48" s="4" t="str">
        <x:v>4</x:v>
      </x:c>
      <x:c r="D48" s="4" t="str">
        <x:v>项目交付时需完成驾驶舱指标展示、筛选分析、统计图表和必要的明细穿透功能。</x:v>
      </x:c>
      <x:c r="E48" s="4" t="str">
        <x:v>D06,D07</x:v>
      </x:c>
      <x:c r="F48" s="4" t="str">
        <x:v>D06 已改待浏览器；D07 本轮未施工</x:v>
      </x:c>
      <x:c r="G48" s="4" t="str">
        <x:v>已发现差异</x:v>
      </x:c>
      <x:c r="H48" s="4" t="str">
        <x:v>按每个图表逐一校验相应业务明细与返回路径。</x:v>
      </x:c>
    </x:row>
    <x:row r="49" ht="116" customHeight="1">
      <x:c r="A49" s="4" t="str">
        <x:v>8.1</x:v>
      </x:c>
      <x:c r="B49" s="4" t="str">
        <x:v>教师资质管理</x:v>
      </x:c>
      <x:c r="C49" s="4" t="str">
        <x:v>4</x:v>
      </x:c>
      <x:c r="D49" s="4" t="str">
        <x:v>建设教师资质管理功能，用于维护教师参加非学历教育相关的资质信息、证书材料、有效期、审核状态和变更记录。</x:v>
      </x:c>
      <x:c r="E49" s="4" t="str">
        <x:v>D01</x:v>
      </x:c>
      <x:c r="F49" s="4" t="str">
        <x:v>D01 部分推进</x:v>
      </x:c>
      <x:c r="G49" s="4" t="str">
        <x:v>静态部分对齐</x:v>
      </x:c>
      <x:c r="H49" s="4" t="str">
        <x:v>恢复资质路由并走新建、变更、审批完整流程。</x:v>
      </x:c>
    </x:row>
    <x:row r="50" ht="116" customHeight="1">
      <x:c r="A50" s="4" t="str">
        <x:v>8.2</x:v>
      </x:c>
      <x:c r="B50" s="4" t="str">
        <x:v>教师资质管理</x:v>
      </x:c>
      <x:c r="C50" s="4" t="str">
        <x:v>4</x:v>
      </x:c>
      <x:c r="D50" s="4" t="str">
        <x:v>资质档案需支持资质类别、证书名称、证书编号、发证机构、取得时间、有效期等信息维护，并支持相关附件材料上传、查看和归档。</x:v>
      </x:c>
      <x:c r="E50" s="4" t="str">
        <x:v>D21</x:v>
      </x:c>
      <x:c r="F50" s="4" t="str">
        <x:v>D21 本轮未施工</x:v>
      </x:c>
      <x:c r="G50" s="4" t="str">
        <x:v>静态部分对齐</x:v>
      </x:c>
      <x:c r="H50" s="4" t="str">
        <x:v>文件实际落盘、hash核对、绑定、查看和归档。</x:v>
      </x:c>
    </x:row>
    <x:row r="51" ht="116" customHeight="1">
      <x:c r="A51" s="4" t="str">
        <x:v>8.3</x:v>
      </x:c>
      <x:c r="B51" s="4" t="str">
        <x:v>教师资质管理</x:v>
      </x:c>
      <x:c r="C51" s="4" t="str">
        <x:v>5</x:v>
      </x:c>
      <x:c r="D51" s="4" t="str">
        <x:v>建立资质审核流转机制，支持提交、审核、退回、重新提交等处理，并记录审核人员、处理时间、审核意见和状态变化。</x:v>
      </x:c>
      <x:c r="E51" s="4" t="str">
        <x:v>D22</x:v>
      </x:c>
      <x:c r="F51" s="4" t="str">
        <x:v>D22 部分推进</x:v>
      </x:c>
      <x:c r="G51" s="4" t="str">
        <x:v>静态部分对齐</x:v>
      </x:c>
      <x:c r="H51" s="4" t="str">
        <x:v>当前版本四角色复测并检验状态越级/重复提交拒绝。</x:v>
      </x:c>
    </x:row>
    <x:row r="52" ht="116" customHeight="1">
      <x:c r="A52" s="4" t="str">
        <x:v>8.4</x:v>
      </x:c>
      <x:c r="B52" s="4" t="str">
        <x:v>教师资质管理</x:v>
      </x:c>
      <x:c r="C52" s="4" t="str">
        <x:v>5</x:v>
      </x:c>
      <x:c r="D52" s="4" t="str">
        <x:v>对具有有效期的教师资质需提供到期提醒；资质信息变更时需保留变更前后值、附件版本、操作人、操作时间及变更依据。</x:v>
      </x:c>
      <x:c r="E52" s="4" t="str">
        <x:v>D09,D22</x:v>
      </x:c>
      <x:c r="F52" s="4" t="str">
        <x:v>D09 本轮未施工；D22 部分推进</x:v>
      </x:c>
      <x:c r="G52" s="4" t="str">
        <x:v>静态部分对齐</x:v>
      </x:c>
      <x:c r="H52" s="4" t="str">
        <x:v>修改资质保留旧附件和原因；边界日期到期通知。</x:v>
      </x:c>
    </x:row>
    <x:row r="53" ht="116" customHeight="1">
      <x:c r="A53" s="4" t="str">
        <x:v>8.5</x:v>
      </x:c>
      <x:c r="B53" s="4" t="str">
        <x:v>教师资质管理</x:v>
      </x:c>
      <x:c r="C53" s="4" t="str">
        <x:v>5</x:v>
      </x:c>
      <x:c r="D53" s="4" t="str">
        <x:v>已经用于已归档考核周期的资质信息和佐证材料不得因后续更新被静默覆盖，应通过历史版本或快照方式保留当期依据。</x:v>
      </x:c>
      <x:c r="E53" s="4" t="str">
        <x:v>D09,D21</x:v>
      </x:c>
      <x:c r="F53" s="4" t="str">
        <x:v>D09 本轮未施工；D21 本轮未施工</x:v>
      </x:c>
      <x:c r="G53" s="4" t="str">
        <x:v>静态部分对齐</x:v>
      </x:c>
      <x:c r="H53" s="4" t="str">
        <x:v>归档后修改资质，旧结果、旧附件字节/hash保持可查。</x:v>
      </x:c>
    </x:row>
    <x:row r="54" ht="116" customHeight="1">
      <x:c r="A54" s="4" t="str">
        <x:v>8.6</x:v>
      </x:c>
      <x:c r="B54" s="4" t="str">
        <x:v>教师资质管理</x:v>
      </x:c>
      <x:c r="C54" s="4" t="str">
        <x:v>5</x:v>
      </x:c>
      <x:c r="D54" s="4" t="str">
        <x:v>涉及教师证书、证明材料等文件时，应与教师身份、组织权限和业务权限绑定，防止无权限查看和下载。</x:v>
      </x:c>
      <x:c r="E54" s="4" t="str">
        <x:v>D21</x:v>
      </x:c>
      <x:c r="F54" s="4" t="str">
        <x:v>D21 本轮未施工</x:v>
      </x:c>
      <x:c r="G54" s="4" t="str">
        <x:v>缺少实现证据</x:v>
      </x:c>
      <x:c r="H54" s="4" t="str">
        <x:v>匿名、他人、跨组织、权限撤销后旧文件链接逐一验证。</x:v>
      </x:c>
    </x:row>
    <x:row r="55" ht="116" customHeight="1">
      <x:c r="A55" s="4" t="str">
        <x:v>9.1</x:v>
      </x:c>
      <x:c r="B55" s="4" t="str">
        <x:v>教师积分激励</x:v>
      </x:c>
      <x:c r="C55" s="4" t="str">
        <x:v>5</x:v>
      </x:c>
      <x:c r="D55" s="4" t="str">
        <x:v>建设教师积分激励功能，支持根据学校管理要求配置积分规则、适用周期和积分来源，并形成教师积分台账。</x:v>
      </x:c>
      <x:c r="E55" s="4" t="str">
        <x:v>D08</x:v>
      </x:c>
      <x:c r="F55" s="4" t="str">
        <x:v>D08 本轮未施工</x:v>
      </x:c>
      <x:c r="G55" s="4" t="str">
        <x:v>静态部分对齐</x:v>
      </x:c>
      <x:c r="H55" s="4" t="str">
        <x:v>检查新规则配置、适用周期、来源与台账写入。</x:v>
      </x:c>
    </x:row>
    <x:row r="56" ht="116" customHeight="1">
      <x:c r="A56" s="4" t="str">
        <x:v>9.2</x:v>
      </x:c>
      <x:c r="B56" s="4" t="str">
        <x:v>教师积分激励</x:v>
      </x:c>
      <x:c r="C56" s="4" t="str">
        <x:v>5</x:v>
      </x:c>
      <x:c r="D56" s="4" t="str">
        <x:v>积分来源可关联教师授课、课程人次、考核结果等业务数据，并支持根据已汇聚的数据自动匹配规则、计算积分和生成积分明细。</x:v>
      </x:c>
      <x:c r="E56" s="4" t="str">
        <x:v>D08,D09</x:v>
      </x:c>
      <x:c r="F56" s="4" t="str">
        <x:v>D08 本轮未施工；D09 本轮未施工</x:v>
      </x:c>
      <x:c r="G56" s="4" t="str">
        <x:v>待学校业务确认</x:v>
      </x:c>
      <x:c r="H56" s="4" t="str">
        <x:v>确认学校要用哪个考核结果；避免积分与当期考核循环依赖。</x:v>
      </x:c>
    </x:row>
    <x:row r="57" ht="116" customHeight="1">
      <x:c r="A57" s="4" t="str">
        <x:v>9.3</x:v>
      </x:c>
      <x:c r="B57" s="4" t="str">
        <x:v>教师积分激励</x:v>
      </x:c>
      <x:c r="C57" s="4" t="str">
        <x:v>5</x:v>
      </x:c>
      <x:c r="D57" s="4" t="str">
        <x:v>每次积分计算应记录计算批次、教师、原始数据、数据来源、规则版本、计算规则/公式、计算结果和计算时间，确保积分结果可解释、可核验、可追溯。</x:v>
      </x:c>
      <x:c r="E57" s="4" t="str">
        <x:v>D01</x:v>
      </x:c>
      <x:c r="F57" s="4" t="str">
        <x:v>D01 部分推进</x:v>
      </x:c>
      <x:c r="G57" s="4" t="str">
        <x:v>静态部分对齐</x:v>
      </x:c>
      <x:c r="H57" s="4" t="str">
        <x:v>抽一笔积分从台账追溯到规则版本与原始业务。</x:v>
      </x:c>
    </x:row>
    <x:row r="58" ht="116" customHeight="1">
      <x:c r="A58" s="4" t="str">
        <x:v>9.4</x:v>
      </x:c>
      <x:c r="B58" s="4" t="str">
        <x:v>教师积分激励</x:v>
      </x:c>
      <x:c r="C58" s="4" t="str">
        <x:v>5</x:v>
      </x:c>
      <x:c r="D58" s="4" t="str">
        <x:v>积分规则应支持版本化管理，新规则启用后应保留历史规则版本及对应历史结果，已确认历史结果不得因新规则上线被自动改写。</x:v>
      </x:c>
      <x:c r="E58" s="4" t="str">
        <x:v>D14</x:v>
      </x:c>
      <x:c r="F58" s="4" t="str">
        <x:v>D14 部分推进</x:v>
      </x:c>
      <x:c r="G58" s="4" t="str">
        <x:v>静态部分对齐</x:v>
      </x:c>
      <x:c r="H58" s="4" t="str">
        <x:v>启用新规则不改旧已确认结果；纠错保留原始流水与确认历史。</x:v>
      </x:c>
    </x:row>
    <x:row r="59" ht="116" customHeight="1">
      <x:c r="A59" s="4" t="str">
        <x:v>9.5</x:v>
      </x:c>
      <x:c r="B59" s="4" t="str">
        <x:v>教师积分激励</x:v>
      </x:c>
      <x:c r="C59" s="4" t="str">
        <x:v>5</x:v>
      </x:c>
      <x:c r="D59" s="4" t="str">
        <x:v>支持教师对积分明细提出核对申请；经授权人员可开展人工复核、重新取数、重新计算或纠错处理，所有人工调整需记录操作人、时间、调整前值、调整后值、原因和依据。</x:v>
      </x:c>
      <x:c r="E59" s="4" t="str">
        <x:v>D18,D21</x:v>
      </x:c>
      <x:c r="F59" s="4" t="str">
        <x:v>D18 部分回归通过；D21 本轮未施工</x:v>
      </x:c>
      <x:c r="G59" s="4" t="str">
        <x:v>静态部分对齐</x:v>
      </x:c>
      <x:c r="H59" s="4" t="str">
        <x:v>核对申请→复核依据→更正/重算→结论→教师确认全程验收。</x:v>
      </x:c>
    </x:row>
    <x:row r="60" ht="116" customHeight="1">
      <x:c r="A60" s="4" t="str">
        <x:v>9.6</x:v>
      </x:c>
      <x:c r="B60" s="4" t="str">
        <x:v>教师积分激励</x:v>
      </x:c>
      <x:c r="C60" s="4" t="str">
        <x:v>5</x:v>
      </x:c>
      <x:c r="D60" s="4" t="str">
        <x:v>积分结果形成后原则上不直接修改原始积分明细，确需纠错时应通过调整项或反向积分冲销等方式处理并保留完整记录。</x:v>
      </x:c>
      <x:c r="E60" s="4" t="str">
        <x:v>D14</x:v>
      </x:c>
      <x:c r="F60" s="4" t="str">
        <x:v>D14 部分推进</x:v>
      </x:c>
      <x:c r="G60" s="4" t="str">
        <x:v>静态部分对齐</x:v>
      </x:c>
      <x:c r="H60" s="4" t="str">
        <x:v>验证调整/冲销与原项关联、原因依据和并发唯一性。</x:v>
      </x:c>
    </x:row>
    <x:row r="61" ht="116" customHeight="1">
      <x:c r="A61" s="4" t="str">
        <x:v>9.7</x:v>
      </x:c>
      <x:c r="B61" s="4" t="str">
        <x:v>教师积分激励</x:v>
      </x:c>
      <x:c r="C61" s="4" t="str">
        <x:v>5</x:v>
      </x:c>
      <x:c r="D61" s="4" t="str">
        <x:v>项目上线前应选取真实业务案例，将系统自动积分结果与学校人工计算结果进行双轨比对，验收样本结果一致率应达到100%。</x:v>
      </x:c>
      <x:c r="E61" s="4" t="str">
        <x:v>D25</x:v>
      </x:c>
      <x:c r="F61" s="4" t="str">
        <x:v>D25 本轮未施工</x:v>
      </x:c>
      <x:c r="G61" s="4" t="str">
        <x:v>待学校样本</x:v>
      </x:c>
      <x:c r="H61" s="4" t="str">
        <x:v>取得脱敏真实样本，记录系统/人工值、差异、规则与复验报告。</x:v>
      </x:c>
    </x:row>
    <x:row r="62" ht="116" customHeight="1">
      <x:c r="A62" s="4" t="str">
        <x:v>9.8</x:v>
      </x:c>
      <x:c r="B62" s="4" t="str">
        <x:v>教师积分激励</x:v>
      </x:c>
      <x:c r="C62" s="4" t="str">
        <x:v>5</x:v>
      </x:c>
      <x:c r="D62" s="4" t="str">
        <x:v>积分规则应支持启用、停用、复制和试算，新规则正式启用前可选取教师样本预览计算结果，确认无误后再生效。</x:v>
      </x:c>
      <x:c r="E62" s="4" t="str">
        <x:v>D08</x:v>
      </x:c>
      <x:c r="F62" s="4" t="str">
        <x:v>D08 本轮未施工</x:v>
      </x:c>
      <x:c r="G62" s="4" t="str">
        <x:v>仅有界面入口</x:v>
      </x:c>
      <x:c r="H62" s="4" t="str">
        <x:v>试算不写正式台账；启用记录匹配试算规则指纹与版本。</x:v>
      </x:c>
    </x:row>
    <x:row r="63" ht="116" customHeight="1">
      <x:c r="A63" s="4" t="str">
        <x:v>9.9</x:v>
      </x:c>
      <x:c r="B63" s="4" t="str">
        <x:v>教师积分激励</x:v>
      </x:c>
      <x:c r="C63" s="4" t="str">
        <x:v>5、6</x:v>
      </x:c>
      <x:c r="D63" s="4" t="str">
        <x:v>支持对单个教师或指定积分项进行重新计算，无需每次执行全部教师的全量积分计算。</x:v>
      </x:c>
      <x:c r="E63" s="4" t="str">
        <x:v>D14</x:v>
      </x:c>
      <x:c r="F63" s="4" t="str">
        <x:v>D14 部分推进</x:v>
      </x:c>
      <x:c r="G63" s="4" t="str">
        <x:v>静态部分对齐</x:v>
      </x:c>
      <x:c r="H63" s="4" t="str">
        <x:v>单教师、单项重算不改变他人或其他项、已归档拒绝。</x:v>
      </x:c>
    </x:row>
    <x:row r="64" ht="116" customHeight="1">
      <x:c r="A64" s="4" t="str">
        <x:v>10.1</x:v>
      </x:c>
      <x:c r="B64" s="4" t="str">
        <x:v>三级考核管理</x:v>
      </x:c>
      <x:c r="C64" s="4" t="str">
        <x:v>6</x:v>
      </x:c>
      <x:c r="D64" s="4" t="str">
        <x:v>建设三级考核管理功能，支持按照学校实际管理制度配置学校、二级学院、教研室、教师相关考核指标、权重、评分规则和适用周期。</x:v>
      </x:c>
      <x:c r="E64" s="4" t="str">
        <x:v>D02</x:v>
      </x:c>
      <x:c r="F64" s="4" t="str">
        <x:v>D02 本轮未施工</x:v>
      </x:c>
      <x:c r="G64" s="4" t="str">
        <x:v>已发现差异</x:v>
      </x:c>
      <x:c r="H64" s="4" t="str">
        <x:v>核对组织对象、独立规则/得分/证据/审核/归档；保留原教师主流程。</x:v>
      </x:c>
    </x:row>
    <x:row r="65" ht="116" customHeight="1">
      <x:c r="A65" s="4" t="str">
        <x:v>10.2</x:v>
      </x:c>
      <x:c r="B65" s="4" t="str">
        <x:v>三级考核管理</x:v>
      </x:c>
      <x:c r="C65" s="4" t="str">
        <x:v>6</x:v>
      </x:c>
      <x:c r="D65" s="4" t="str">
        <x:v>考核启动后应能够从平台已接入数据中自动获取相应考核数据并生成得分，单项指标应能够查看原始值、数据来源、适用规则、计算过程和得分明细。</x:v>
      </x:c>
      <x:c r="E65" s="4" t="str">
        <x:v>D02,D08</x:v>
      </x:c>
      <x:c r="F65" s="4" t="str">
        <x:v>D02 本轮未施工；D08 本轮未施工</x:v>
      </x:c>
      <x:c r="G65" s="4" t="str">
        <x:v>静态部分对齐</x:v>
      </x:c>
      <x:c r="H65" s="4" t="str">
        <x:v>指标逐项追溯，验证取数范围、规则版本和计算时间。</x:v>
      </x:c>
    </x:row>
    <x:row r="66" ht="116" customHeight="1">
      <x:c r="A66" s="4" t="str">
        <x:v>10.3</x:v>
      </x:c>
      <x:c r="B66" s="4" t="str">
        <x:v>三级考核管理</x:v>
      </x:c>
      <x:c r="C66" s="4" t="str">
        <x:v>6</x:v>
      </x:c>
      <x:c r="D66" s="4" t="str">
        <x:v>考核流程按照“数据采集—自动计算—教师确认/核对—教研室确认—学院确认—学校审核—归档”组织，并支持审核意见、退回处理、结果确认和过程留痕。</x:v>
      </x:c>
      <x:c r="E66" s="4" t="str">
        <x:v>D21,D22</x:v>
      </x:c>
      <x:c r="F66" s="4" t="str">
        <x:v>D21 本轮未施工；D22 部分推进</x:v>
      </x:c>
      <x:c r="G66" s="4" t="str">
        <x:v>静态部分对齐</x:v>
      </x:c>
      <x:c r="H66" s="4" t="str">
        <x:v>以独立账号真实浏览器重跑并反向测试禁止越级/代本人确认。</x:v>
      </x:c>
    </x:row>
    <x:row r="67" ht="116" customHeight="1">
      <x:c r="A67" s="4" t="str">
        <x:v>10.4</x:v>
      </x:c>
      <x:c r="B67" s="4" t="str">
        <x:v>三级考核管理</x:v>
      </x:c>
      <x:c r="C67" s="4" t="str">
        <x:v>6</x:v>
      </x:c>
      <x:c r="D67" s="4" t="str">
        <x:v>支持教师对本人考核基础数据、指标得分和计算依据提出异议或核对申请；审核人员可根据权限开展人工复核、补充材料、重新取数和重新计算。</x:v>
      </x:c>
      <x:c r="E67" s="4" t="str">
        <x:v>D21</x:v>
      </x:c>
      <x:c r="F67" s="4" t="str">
        <x:v>D21 本轮未施工</x:v>
      </x:c>
      <x:c r="G67" s="4" t="str">
        <x:v>静态部分对齐</x:v>
      </x:c>
      <x:c r="H67" s="4" t="str">
        <x:v>未解决异议时阻止确认；授权复核、补件、更正后重新核对。</x:v>
      </x:c>
    </x:row>
    <x:row r="68" ht="116" customHeight="1">
      <x:c r="A68" s="4" t="str">
        <x:v>10.5</x:v>
      </x:c>
      <x:c r="B68" s="4" t="str">
        <x:v>三级考核管理</x:v>
      </x:c>
      <x:c r="C68" s="4" t="str">
        <x:v>6</x:v>
      </x:c>
      <x:c r="D68" s="4" t="str">
        <x:v>考核指标、权重或评分规则需进行版本化管理；已归档考核结果应形成结果快照，后续规则变化不得静默改写既有历史结果。</x:v>
      </x:c>
      <x:c r="E68" s="4" t="str">
        <x:v>D02,D21</x:v>
      </x:c>
      <x:c r="F68" s="4" t="str">
        <x:v>D02 本轮未施工；D21 本轮未施工</x:v>
      </x:c>
      <x:c r="G68" s="4" t="str">
        <x:v>静态部分对齐</x:v>
      </x:c>
      <x:c r="H68" s="4" t="str">
        <x:v>新规则/资质更新后旧归档结果和SHA256不变。</x:v>
      </x:c>
    </x:row>
    <x:row r="69" ht="116" customHeight="1">
      <x:c r="A69" s="4" t="str">
        <x:v>10.6</x:v>
      </x:c>
      <x:c r="B69" s="4" t="str">
        <x:v>三级考核管理</x:v>
      </x:c>
      <x:c r="C69" s="4" t="str">
        <x:v>6</x:v>
      </x:c>
      <x:c r="D69" s="4" t="str">
        <x:v>对考核异常数据、人工调整和结果更正，应记录操作人员、操作时间、调整前值、调整后值、调整原因及依据，保证全过程可追溯。</x:v>
      </x:c>
      <x:c r="E69" s="4" t="str">
        <x:v>D18</x:v>
      </x:c>
      <x:c r="F69" s="4" t="str">
        <x:v>D18 部分回归通过</x:v>
      </x:c>
      <x:c r="G69" s="4" t="str">
        <x:v>静态部分对齐</x:v>
      </x:c>
      <x:c r="H69" s="4" t="str">
        <x:v>检查调整前后分数、原始指标、人员时间原因依据，并拒绝归档改写。</x:v>
      </x:c>
    </x:row>
    <x:row r="70" ht="116" customHeight="1">
      <x:c r="A70" s="4" t="str">
        <x:v>10.7</x:v>
      </x:c>
      <x:c r="B70" s="4" t="str">
        <x:v>三级考核管理</x:v>
      </x:c>
      <x:c r="C70" s="4" t="str">
        <x:v>6</x:v>
      </x:c>
      <x:c r="D70" s="4" t="str">
        <x:v>考核结果需支持排名、查询、导出和打印；系统正式上线前应选取代表性真实案例与学校现行人工计算结果开展双轨比对，验收样本计算一致率应达到100%。</x:v>
      </x:c>
      <x:c r="E70" s="4" t="str">
        <x:v>D24,D25</x:v>
      </x:c>
      <x:c r="F70" s="4" t="str">
        <x:v>D24 部分推进；D25 本轮未施工</x:v>
      </x:c>
      <x:c r="G70" s="4" t="str">
        <x:v>待学校样本</x:v>
      </x:c>
      <x:c r="H70" s="4" t="str">
        <x:v>同时完成真实排名/打印/导出测试与学校样本对照，不能只等待样本掩盖内部未验证。</x:v>
      </x:c>
    </x:row>
    <x:row r="71" ht="116" customHeight="1">
      <x:c r="A71" s="4" t="str">
        <x:v>10.8</x:v>
      </x:c>
      <x:c r="B71" s="4" t="str">
        <x:v>三级考核管理</x:v>
      </x:c>
      <x:c r="C71" s="4" t="str">
        <x:v>6</x:v>
      </x:c>
      <x:c r="D71" s="4" t="str">
        <x:v>考核指标、权重、评分规则和适用周期应支持配置维护，并可复制上一考核周期的规则形成新周期配置，在此基础上进行调整。</x:v>
      </x:c>
      <x:c r="E71" s="4" t="str">
        <x:v>D08</x:v>
      </x:c>
      <x:c r="F71" s="4" t="str">
        <x:v>D08 本轮未施工</x:v>
      </x:c>
      <x:c r="G71" s="4" t="str">
        <x:v>静态部分对齐</x:v>
      </x:c>
      <x:c r="H71" s="4" t="str">
        <x:v>复制后改变新周期不影响原规则；服务端校验用户要求的权重总和100。</x:v>
      </x:c>
    </x:row>
    <x:row r="72" ht="116" customHeight="1">
      <x:c r="A72" s="4" t="str">
        <x:v>10.9</x:v>
      </x:c>
      <x:c r="B72" s="4" t="str">
        <x:v>三级考核管理</x:v>
      </x:c>
      <x:c r="C72" s="4" t="str">
        <x:v>6</x:v>
      </x:c>
      <x:c r="D72" s="4" t="str">
        <x:v>考核过程中应能够查看教师确认、教研室确认、学院确认、学校审核等各级处理进度，并支持按未处理、已完成、退回等状态筛选。</x:v>
      </x:c>
      <x:c r="E72" s="4" t="str">
        <x:v>D13</x:v>
      </x:c>
      <x:c r="F72" s="4" t="str">
        <x:v>D13 部分推进</x:v>
      </x:c>
      <x:c r="G72" s="4" t="str">
        <x:v>已发现差异</x:v>
      </x:c>
      <x:c r="H72" s="4" t="str">
        <x:v>增加未处理/完成/退回查询语义，退回标记与所在环节独立。</x:v>
      </x:c>
    </x:row>
    <x:row r="73" ht="116" customHeight="1">
      <x:c r="A73" s="4" t="str">
        <x:v>11.1</x:v>
      </x:c>
      <x:c r="B73" s="4" t="str">
        <x:v>湘培直通车平台对接</x:v>
      </x:c>
      <x:c r="C73" s="4" t="str">
        <x:v>6</x:v>
      </x:c>
      <x:c r="D73" s="4" t="str">
        <x:v>按照湘培直通车省级平台接口规范完成接口对接和联调，实现平台与省级平台之间相关业务数据同步。</x:v>
      </x:c>
      <x:c r="E73" s="4" t="str">
        <x:v>D03</x:v>
      </x:c>
      <x:c r="F73" s="4" t="str">
        <x:v>D03 文案纠偏</x:v>
      </x:c>
      <x:c r="G73" s="4" t="str">
        <x:v>待外部联调</x:v>
      </x:c>
      <x:c r="H73" s="4" t="str">
        <x:v>取得官方接口规范后验证适配；当前NOT_CONNECTED正确但不等于采购范围取消。</x:v>
      </x:c>
    </x:row>
    <x:row r="74" ht="116" customHeight="1">
      <x:c r="A74" s="4" t="str">
        <x:v>11.2</x:v>
      </x:c>
      <x:c r="B74" s="4" t="str">
        <x:v>湘培直通车平台对接</x:v>
      </x:c>
      <x:c r="C74" s="4" t="str">
        <x:v>6</x:v>
      </x:c>
      <x:c r="D74" s="4" t="str">
        <x:v>接口开发前需确认省级平台可用接口清单、字段标准、鉴权方式、调用频率、接口责任单位及可用性条件，并形成接口确认记录。</x:v>
      </x:c>
      <x:c r="E74" s="4" t="str">
        <x:v>D03</x:v>
      </x:c>
      <x:c r="F74" s="4" t="str">
        <x:v>D03 文案纠偏</x:v>
      </x:c>
      <x:c r="G74" s="4" t="str">
        <x:v>待外部联调</x:v>
      </x:c>
      <x:c r="H74" s="4" t="str">
        <x:v>确认可用接口、字段、鉴权、限频、责任方和可用网络。</x:v>
      </x:c>
    </x:row>
    <x:row r="75" ht="116" customHeight="1">
      <x:c r="A75" s="4" t="str">
        <x:v>11.3</x:v>
      </x:c>
      <x:c r="B75" s="4" t="str">
        <x:v>湘培直通车平台对接</x:v>
      </x:c>
      <x:c r="C75" s="4" t="str">
        <x:v>6</x:v>
      </x:c>
      <x:c r="D75" s="4" t="str">
        <x:v>同步数据范围包括培训项目、课程、计划、班级、教师授课、人次、学习过程、培训记录、考核结果、结业结果、证书信息等。</x:v>
      </x:c>
      <x:c r="E75" s="4" t="str">
        <x:v>D04</x:v>
      </x:c>
      <x:c r="F75" s="4" t="str">
        <x:v>D04 本轮未施工</x:v>
      </x:c>
      <x:c r="G75" s="4" t="str">
        <x:v>缺少实现证据</x:v>
      </x:c>
      <x:c r="H75" s="4" t="str">
        <x:v>建立全部采购数据类型的映射/来源/传输台账，不必扩成完整在线教学或发证系统。</x:v>
      </x:c>
    </x:row>
    <x:row r="76" ht="116" customHeight="1">
      <x:c r="A76" s="4" t="str">
        <x:v>11.4</x:v>
      </x:c>
      <x:c r="B76" s="4" t="str">
        <x:v>湘培直通车平台对接</x:v>
      </x:c>
      <x:c r="C76" s="4" t="str">
        <x:v>6、7</x:v>
      </x:c>
      <x:c r="D76" s="4" t="str">
        <x:v>同步任务需记录任务状态、逐笔同步记录、接口调用日志和处理结果；对同步失败的数据应支持自动重试（不少于3 次）、失败原因记录和人工补传。</x:v>
      </x:c>
      <x:c r="E76" s="4" t="str">
        <x:v>D03</x:v>
      </x:c>
      <x:c r="F76" s="4" t="str">
        <x:v>D03 文案纠偏</x:v>
      </x:c>
      <x:c r="G76" s="4" t="str">
        <x:v>缺少实现证据</x:v>
      </x:c>
      <x:c r="H76" s="4" t="str">
        <x:v>模拟受控错误验证首次失败后至少3次自动重试、逐条日志及人工补传。</x:v>
      </x:c>
    </x:row>
    <x:row r="77" ht="116" customHeight="1">
      <x:c r="A77" s="4" t="str">
        <x:v>11.5</x:v>
      </x:c>
      <x:c r="B77" s="4" t="str">
        <x:v>湘培直通车平台对接</x:v>
      </x:c>
      <x:c r="C77" s="4" t="str">
        <x:v>7</x:v>
      </x:c>
      <x:c r="D77" s="4" t="str">
        <x:v>项目建设及免费质保期内，因省级平台正常版本升级、字段合理调整或接口小幅变化产生的适配工作，供应商应提供免费技术支持；涉及重大新增接口或超出原采购范围的改造由双方另行确认。</x:v>
      </x:c>
      <x:c r="E77" s="4" t="str">
        <x:v>D25</x:v>
      </x:c>
      <x:c r="F77" s="4" t="str">
        <x:v>D25 本轮未施工</x:v>
      </x:c>
      <x:c r="G77" s="4" t="str">
        <x:v>服务承诺待落实</x:v>
      </x:c>
      <x:c r="H77" s="4" t="str">
        <x:v>形成维护承诺及变更处理记录模板，按采购界定小幅变化与新增范围。</x:v>
      </x:c>
    </x:row>
    <x:row r="78" ht="116" customHeight="1">
      <x:c r="A78" s="4" t="str">
        <x:v>11.6</x:v>
      </x:c>
      <x:c r="B78" s="4" t="str">
        <x:v>湘培直通车平台对接</x:v>
      </x:c>
      <x:c r="C78" s="4" t="str">
        <x:v>7</x:v>
      </x:c>
      <x:c r="D78" s="4" t="str">
        <x:v>在正式联调前应使用脱敏真实业务数据完成关键报文、字段映射、异常返回和重试机制验证。</x:v>
      </x:c>
      <x:c r="E78" s="4" t="str">
        <x:v>D03,D25</x:v>
      </x:c>
      <x:c r="F78" s="4" t="str">
        <x:v>D03 文案纠偏；D25 本轮未施工</x:v>
      </x:c>
      <x:c r="G78" s="4" t="str">
        <x:v>待学校样本</x:v>
      </x:c>
      <x:c r="H78" s="4" t="str">
        <x:v>用责任方提供脱敏样本验报文、映射、异常和重试。</x:v>
      </x:c>
    </x:row>
    <x:row r="79" ht="116" customHeight="1">
      <x:c r="A79" s="4" t="str">
        <x:v>11.7</x:v>
      </x:c>
      <x:c r="B79" s="4" t="str">
        <x:v>湘培直通车平台对接</x:v>
      </x:c>
      <x:c r="C79" s="4" t="str">
        <x:v>7</x:v>
      </x:c>
      <x:c r="D79" s="4" t="str">
        <x:v>项目交付时需形成省级平台接口文档、字段映射说明、联调记录、异常处理说明及问题处理清单。</x:v>
      </x:c>
      <x:c r="E79" s="4" t="str">
        <x:v>D03,D24</x:v>
      </x:c>
      <x:c r="F79" s="4" t="str">
        <x:v>D03 文案纠偏；D24 部分推进</x:v>
      </x:c>
      <x:c r="G79" s="4" t="str">
        <x:v>缺少实现证据</x:v>
      </x:c>
      <x:c r="H79" s="4" t="str">
        <x:v>随适配代码形成版本一致的材料；未对接项如实标记。</x:v>
      </x:c>
    </x:row>
    <x:row r="80" ht="116" customHeight="1">
      <x:c r="A80" s="4" t="str">
        <x:v>11.8</x:v>
      </x:c>
      <x:c r="B80" s="4" t="str">
        <x:v>湘培直通车平台对接</x:v>
      </x:c>
      <x:c r="C80" s="4" t="str">
        <x:v>7</x:v>
      </x:c>
      <x:c r="D80" s="4" t="str">
        <x:v>对同步失败的数据应支持单条重试、批量重试和人工补传，并保留原失败记录及后续处理结果。</x:v>
      </x:c>
      <x:c r="E80" s="4" t="str">
        <x:v>D03</x:v>
      </x:c>
      <x:c r="F80" s="4" t="str">
        <x:v>D03 文案纠偏</x:v>
      </x:c>
      <x:c r="G80" s="4" t="str">
        <x:v>缺少实现证据</x:v>
      </x:c>
      <x:c r="H80" s="4" t="str">
        <x:v>失败一条和多条分别重试，核对不覆盖旧失败记录、不重复生成业务数据。</x:v>
      </x:c>
    </x:row>
    <x:row r="81" ht="116" customHeight="1">
      <x:c r="A81" s="4" t="str">
        <x:v>11.9</x:v>
      </x:c>
      <x:c r="B81" s="4" t="str">
        <x:v>湘培直通车平台对接</x:v>
      </x:c>
      <x:c r="C81" s="4" t="str">
        <x:v>7</x:v>
      </x:c>
      <x:c r="D81" s="4" t="str">
        <x:v>对同一业务数据的重复提交应具备必要的重复识别或幂等处理能力，避免因重复调用产生重复业务数据。</x:v>
      </x:c>
      <x:c r="E81" s="4" t="str">
        <x:v>D03,D04</x:v>
      </x:c>
      <x:c r="F81" s="4" t="str">
        <x:v>D03 文案纠偏；D04 本轮未施工</x:v>
      </x:c>
      <x:c r="G81" s="4" t="str">
        <x:v>静态部分对齐</x:v>
      </x:c>
      <x:c r="H81" s="4" t="str">
        <x:v>明确跨批次/重试/版本变化业务身份，验证重复调用不重复入账。</x:v>
      </x:c>
    </x:row>
    <x:row r="82" ht="116" customHeight="1">
      <x:c r="A82" s="4" t="str">
        <x:v>12.1</x:v>
      </x:c>
      <x:c r="B82" s="4" t="str">
        <x:v>操作日志、安全审计、消息待办、附件权限</x:v>
      </x:c>
      <x:c r="C82" s="4" t="str">
        <x:v>7</x:v>
      </x:c>
      <x:c r="D82" s="4" t="str">
        <x:v>建立覆盖平台关键业务的操作日志和安全审计机制，对登录、查询、导出、权限调整、资质审核、积分处理、考核审核、接口同步等重要操作进行记录。</x:v>
      </x:c>
      <x:c r="E82" s="4" t="str">
        <x:v>D18</x:v>
      </x:c>
      <x:c r="F82" s="4" t="str">
        <x:v>D18 部分回归通过</x:v>
      </x:c>
      <x:c r="G82" s="4" t="str">
        <x:v>已发现差异</x:v>
      </x:c>
      <x:c r="H82" s="4" t="str">
        <x:v>关键审计与业务绑定；普通访问日志失败报警但不得反转已提交业务结果。</x:v>
      </x:c>
    </x:row>
    <x:row r="83" ht="116" customHeight="1">
      <x:c r="A83" s="4" t="str">
        <x:v>12.2</x:v>
      </x:c>
      <x:c r="B83" s="4" t="str">
        <x:v>操作日志、安全审计、消息待办、附件权限</x:v>
      </x:c>
      <x:c r="C83" s="4" t="str">
        <x:v>7</x:v>
      </x:c>
      <x:c r="D83" s="4" t="str">
        <x:v>日志信息应包括操作用户、所属组织、操作时间、业务模块、业务对象、操作内容、调整前后值（适用时）和处理结果等，并支持按条件查询和问题追踪。</x:v>
      </x:c>
      <x:c r="E83" s="4" t="str">
        <x:v>D18</x:v>
      </x:c>
      <x:c r="F83" s="4" t="str">
        <x:v>D18 部分回归通过</x:v>
      </x:c>
      <x:c r="G83" s="4" t="str">
        <x:v>静态部分对齐</x:v>
      </x:c>
      <x:c r="H83" s="4" t="str">
        <x:v>抽查操作用户/组织/时间/对象/前后值/结果，可按必要条件检索。</x:v>
      </x:c>
    </x:row>
    <x:row r="84" ht="116" customHeight="1">
      <x:c r="A84" s="4" t="str">
        <x:v>12.3</x:v>
      </x:c>
      <x:c r="B84" s="4" t="str">
        <x:v>操作日志、安全审计、消息待办、附件权限</x:v>
      </x:c>
      <x:c r="C84" s="4" t="str">
        <x:v>7</x:v>
      </x:c>
      <x:c r="D84" s="4" t="str">
        <x:v>对异常访问、越权操作、关键配置变更和接口异常等情况形成安全提示或审计记录，为学校内部安全检查和问题排查提供依据。</x:v>
      </x:c>
      <x:c r="E84" s="4" t="str">
        <x:v>D18,D21</x:v>
      </x:c>
      <x:c r="F84" s="4" t="str">
        <x:v>D18 部分回归通过；D21 本轮未施工</x:v>
      </x:c>
      <x:c r="G84" s="4" t="str">
        <x:v>静态部分对齐</x:v>
      </x:c>
      <x:c r="H84" s="4" t="str">
        <x:v>构造安全拒绝、关键配置变更、接口异常并检索对应记录。</x:v>
      </x:c>
    </x:row>
    <x:row r="85" ht="116" customHeight="1">
      <x:c r="A85" s="4" t="str">
        <x:v>12.4</x:v>
      </x:c>
      <x:c r="B85" s="4" t="str">
        <x:v>操作日志、安全审计、消息待办、附件权限</x:v>
      </x:c>
      <x:c r="C85" s="4" t="str">
        <x:v>7</x:v>
      </x:c>
      <x:c r="D85" s="4" t="str">
        <x:v>建设统一消息待办能力，将审核待办、同步异常、资质到期和考核确认等事项集中呈现，并支持跳转至对应业务进行处理。</x:v>
      </x:c>
      <x:c r="E85" s="4" t="str">
        <x:v>D22</x:v>
      </x:c>
      <x:c r="F85" s="4" t="str">
        <x:v>D22 部分推进</x:v>
      </x:c>
      <x:c r="G85" s="4" t="str">
        <x:v>仅有界面入口</x:v>
      </x:c>
      <x:c r="H85" s="4" t="str">
        <x:v>四类待办触发→办理→关闭，验证教师/部门范围。</x:v>
      </x:c>
    </x:row>
    <x:row r="86" ht="116" customHeight="1">
      <x:c r="A86" s="4" t="str">
        <x:v>12.5</x:v>
      </x:c>
      <x:c r="B86" s="4" t="str">
        <x:v>操作日志、安全审计、消息待办、附件权限</x:v>
      </x:c>
      <x:c r="C86" s="4" t="str">
        <x:v>7</x:v>
      </x:c>
      <x:c r="D86" s="4" t="str">
        <x:v>教师资质材料、考核材料和同步佐证材料等附件需与业务对象和用户权限绑定，对文件查看、下载等行为进行权限校验并保留必要审计记录。</x:v>
      </x:c>
      <x:c r="E86" s="4" t="str">
        <x:v>D21</x:v>
      </x:c>
      <x:c r="F86" s="4" t="str">
        <x:v>D21 本轮未施工</x:v>
      </x:c>
      <x:c r="G86" s="4" t="str">
        <x:v>缺少实现证据</x:v>
      </x:c>
      <x:c r="H86" s="4" t="str">
        <x:v>逐种附件业务对象审核查看、下载、审计、撤权和历史证据访问。</x:v>
      </x:c>
    </x:row>
    <x:row r="87" ht="116" customHeight="1">
      <x:c r="A87" s="4" t="str">
        <x:v>12.6</x:v>
      </x:c>
      <x:c r="B87" s="4" t="str">
        <x:v>操作日志、安全审计、消息待办、附件权限</x:v>
      </x:c>
      <x:c r="C87" s="4" t="str">
        <x:v>7</x:v>
      </x:c>
      <x:c r="D87" s="4" t="str">
        <x:v>对涉及教师身份、联系方式、证书材料等敏感信息，应结合用户角色和数据权限进行脱敏展示或访问限制。</x:v>
      </x:c>
      <x:c r="E87" s="4" t="str">
        <x:v>D21</x:v>
      </x:c>
      <x:c r="F87" s="4" t="str">
        <x:v>D21 本轮未施工</x:v>
      </x:c>
      <x:c r="G87" s="4" t="str">
        <x:v>缺少实现证据</x:v>
      </x:c>
      <x:c r="H87" s="4" t="str">
        <x:v>列出身份/联系方式/证书字段，逐角色核对API响应、导出和附件。</x:v>
      </x:c>
    </x:row>
    <x:row r="88" ht="116" customHeight="1">
      <x:c r="A88" s="4" t="str">
        <x:v>13.1</x:v>
      </x:c>
      <x:c r="B88" s="4" t="str">
        <x:v>安全保障与部署上线</x:v>
      </x:c>
      <x:c r="C88" s="4" t="str">
        <x:v>7</x:v>
      </x:c>
      <x:c r="D88" s="4" t="str">
        <x:v>平台采用B/S 架构和前后端分离模式，满足PC 端访问要求，系统设计需兼顾模块化、组件化、配置化和接口化，便于后续业务扩展、规则调整和外部接口适配。</x:v>
      </x:c>
      <x:c r="E88" s="4" t="str">
        <x:v>D01</x:v>
      </x:c>
      <x:c r="F88" s="4" t="str">
        <x:v>D01 部分推进</x:v>
      </x:c>
      <x:c r="G88" s="4" t="str">
        <x:v>静态部分对齐</x:v>
      </x:c>
      <x:c r="H88" s="4" t="str">
        <x:v>恢复完整模块化工程，不另套一套缩减原型。</x:v>
      </x:c>
    </x:row>
    <x:row r="89" ht="116" customHeight="1">
      <x:c r="A89" s="4" t="str">
        <x:v>13.2</x:v>
      </x:c>
      <x:c r="B89" s="4" t="str">
        <x:v>安全保障与部署上线</x:v>
      </x:c>
      <x:c r="C89" s="4" t="str">
        <x:v>7、8</x:v>
      </x:c>
      <x:c r="D89" s="4" t="str">
        <x:v>平台部署在学校指定服务器、虚拟化资源或私有云环境，包含前端服务、后端服务、数据库服务、文件存储服务、接口网络访问和日志存储等运行能力。</x:v>
      </x:c>
      <x:c r="E89" s="4" t="str">
        <x:v>D01,D19,D20</x:v>
      </x:c>
      <x:c r="F89" s="4" t="str">
        <x:v>D01 部分推进；D19 编排回归通过；D20 编排回归通过</x:v>
      </x:c>
      <x:c r="G89" s="4" t="str">
        <x:v>缺少实现证据</x:v>
      </x:c>
      <x:c r="H89" s="4" t="str">
        <x:v>补同版部署文件，完成数据库/文件一致备份、升级恢复演练及受控接口出网核验。</x:v>
      </x:c>
    </x:row>
    <x:row r="90" ht="116" customHeight="1">
      <x:c r="A90" s="4" t="str">
        <x:v>13.3</x:v>
      </x:c>
      <x:c r="B90" s="4" t="str">
        <x:v>安全保障与部署上线</x:v>
      </x:c>
      <x:c r="C90" s="4" t="str">
        <x:v>8</x:v>
      </x:c>
      <x:c r="D90" s="4" t="str">
        <x:v>接口安全需结合学校现有环境采用令牌、签名、时间戳、防重放、参数校验和接口日志等机制，保障统一认证、数据中台和湘培直通车接口调用安全。</x:v>
      </x:c>
      <x:c r="E90" s="4" t="str">
        <x:v>D03,D21</x:v>
      </x:c>
      <x:c r="F90" s="4" t="str">
        <x:v>D03 文案纠偏；D21 本轮未施工</x:v>
      </x:c>
      <x:c r="G90" s="4" t="str">
        <x:v>缺少实现证据</x:v>
      </x:c>
      <x:c r="H90" s="4" t="str">
        <x:v>按实际协议验签、防重放、参数与日志；不能照抄一个固定鉴权假设。</x:v>
      </x:c>
    </x:row>
    <x:row r="91" ht="116" customHeight="1">
      <x:c r="A91" s="4" t="str">
        <x:v>13.4</x:v>
      </x:c>
      <x:c r="B91" s="4" t="str">
        <x:v>安全保障与部署上线</x:v>
      </x:c>
      <x:c r="C91" s="4" t="str">
        <x:v>8</x:v>
      </x:c>
      <x:c r="D91" s="4" t="str">
        <x:v>上线前需完成组织机构、角色权限、字典项、考核周期、系统参数、管理员账号和接口参数初始化，并完成统一认证、数据中台、湘培直通车的连通性验证及字段映射确认。</x:v>
      </x:c>
      <x:c r="E91" s="4" t="str">
        <x:v>D01,D17</x:v>
      </x:c>
      <x:c r="F91" s="4" t="str">
        <x:v>D01 部分推进；D17 模块回归通过</x:v>
      </x:c>
      <x:c r="G91" s="4" t="str">
        <x:v>已发现差异</x:v>
      </x:c>
      <x:c r="H91" s="4" t="str">
        <x:v>验证真实迁移版本与全部必需初始化数据；外部连通分项另列待对接。</x:v>
      </x:c>
    </x:row>
    <x:row r="92" ht="116" customHeight="1">
      <x:c r="A92" s="4" t="str">
        <x:v>13.5</x:v>
      </x:c>
      <x:c r="B92" s="4" t="str">
        <x:v>安全保障与部署上线</x:v>
      </x:c>
      <x:c r="C92" s="4" t="str">
        <x:v>8</x:v>
      </x:c>
      <x:c r="D92" s="4" t="str">
        <x:v>上线前需完成主要功能、四级权限、接口同步、积分计算、三级考核和异常场景测试，并使用脱敏真实数据完成关键业务验证。</x:v>
      </x:c>
      <x:c r="E92" s="4" t="str">
        <x:v>D21,D22</x:v>
      </x:c>
      <x:c r="F92" s="4" t="str">
        <x:v>D21 本轮未施工；D22 部分推进</x:v>
      </x:c>
      <x:c r="G92" s="4" t="str">
        <x:v>缺少实现证据</x:v>
      </x:c>
      <x:c r="H92" s="4" t="str">
        <x:v>同一完整代码版本做真实MySQL、原生浏览器四角色和反向安全/异常测试。</x:v>
      </x:c>
    </x:row>
    <x:row r="93" ht="116" customHeight="1">
      <x:c r="A93" s="4" t="str">
        <x:v>13.6</x:v>
      </x:c>
      <x:c r="B93" s="4" t="str">
        <x:v>安全保障与部署上线</x:v>
      </x:c>
      <x:c r="C93" s="4" t="str">
        <x:v>8</x:v>
      </x:c>
      <x:c r="D93" s="4" t="str">
        <x:v>项目交付需提供可独立部署运行的系统版本、数据库脚本、部署配置、接口文档、数据字典、测试报告、用户手册、试运行记录、问题整改清单和验收材料。</x:v>
      </x:c>
      <x:c r="E93" s="4" t="str">
        <x:v>D01,D24</x:v>
      </x:c>
      <x:c r="F93" s="4" t="str">
        <x:v>D01 部分推进；D24 部分推进</x:v>
      </x:c>
      <x:c r="G93" s="4" t="str">
        <x:v>缺少实现证据</x:v>
      </x:c>
      <x:c r="H93" s="4" t="str">
        <x:v>锁定源码SHA，完整恢复并关联每条验收与证据；不提前封正式交付包。</x:v>
      </x:c>
    </x:row>
    <x:row r="94" ht="116" customHeight="1">
      <x:c r="A94" s="4" t="str">
        <x:v>13.7</x:v>
      </x:c>
      <x:c r="B94" s="4" t="str">
        <x:v>安全保障与部署上线</x:v>
      </x:c>
      <x:c r="C94" s="4" t="str">
        <x:v>8</x:v>
      </x:c>
      <x:c r="D94" s="4" t="str">
        <x:v>在学校网络和服务器资源正常的条件下，普通业务页面响应时间原则上不超过3 秒，复杂统计分析页面响应时间原则上不超过5 秒。</x:v>
      </x:c>
      <x:c r="E94" s="4" t="str">
        <x:v>D22</x:v>
      </x:c>
      <x:c r="F94" s="4" t="str">
        <x:v>D22 部分推进</x:v>
      </x:c>
      <x:c r="G94" s="4" t="str">
        <x:v>待环境性能验收</x:v>
      </x:c>
      <x:c r="H94" s="4" t="str">
        <x:v>正常学校或等效环境測普通≤3秒、复杂≤5秒；记数据量/并发/网络/测量边界。</x:v>
      </x:c>
    </x:row>
    <x:row r="95" ht="116" customHeight="1">
      <x:c r="A95" s="4" t="str">
        <x:v>13.8</x:v>
      </x:c>
      <x:c r="B95" s="4" t="str">
        <x:v>安全保障与部署上线</x:v>
      </x:c>
      <x:c r="C95" s="4" t="str">
        <x:v>8</x:v>
      </x:c>
      <x:c r="D95" s="4" t="str">
        <x:v>系统可支持3000 人同时在线使用的，应满足不少于100 个并发用户正常访问的使用需求，在规定并发条件下主要业务功能应稳定可用。</x:v>
      </x:c>
      <x:c r="E95" s="4" t="str">
        <x:v>D22</x:v>
      </x:c>
      <x:c r="F95" s="4" t="str">
        <x:v>D22 部分推进</x:v>
      </x:c>
      <x:c r="G95" s="4" t="str">
        <x:v>待环境性能验收</x:v>
      </x:c>
      <x:c r="H95" s="4" t="str">
        <x:v>以明确用户/数据/负载模型实测稳定性、时延与错误；不把API100请求当100并发用户。</x:v>
      </x:c>
    </x:row>
    <x:row r="96" ht="116" customHeight="1">
      <x:c r="A96" s="4" t="str">
        <x:v>14.1</x:v>
      </x:c>
      <x:c r="B96" s="4" t="str">
        <x:v>售后服务与运维保障</x:v>
      </x:c>
      <x:c r="C96" s="4" t="str">
        <x:v>8</x:v>
      </x:c>
      <x:c r="D96" s="4" t="str">
        <x:v>免费质保期不少于1 年，自项目最终验收合格之日起计算。</x:v>
      </x:c>
      <x:c r="E96" s="4" t="str">
        <x:v>D25</x:v>
      </x:c>
      <x:c r="F96" s="4" t="str">
        <x:v>D25 本轮未施工</x:v>
      </x:c>
      <x:c r="G96" s="4" t="str">
        <x:v>服务承诺待落实</x:v>
      </x:c>
      <x:c r="H96" s="4" t="str">
        <x:v>明确质保起算、责任人与受理渠道。</x:v>
      </x:c>
    </x:row>
    <x:row r="97" ht="116" customHeight="1">
      <x:c r="A97" s="4" t="str">
        <x:v>14.2</x:v>
      </x:c>
      <x:c r="B97" s="4" t="str">
        <x:v>售后服务与运维保障</x:v>
      </x:c>
      <x:c r="C97" s="4" t="str">
        <x:v>8</x:v>
      </x:c>
      <x:c r="D97" s="4" t="str">
        <x:v>严重故障30 分钟内响应、2 小时内提供处置方案；一般功能故障2 小时内响应；普通咨询及配置问题1个工作日内响应。</x:v>
      </x:c>
      <x:c r="E97" s="4" t="str">
        <x:v>D25</x:v>
      </x:c>
      <x:c r="F97" s="4" t="str">
        <x:v>D25 本轮未施工</x:v>
      </x:c>
      <x:c r="G97" s="4" t="str">
        <x:v>服务承诺待落实</x:v>
      </x:c>
      <x:c r="H97" s="4" t="str">
        <x:v>记录严重30分钟响应/2小时方案、一般2小时、普通1工作日响应流程。</x:v>
      </x:c>
    </x:row>
    <x:row r="98" ht="116" customHeight="1">
      <x:c r="A98" s="4" t="str">
        <x:v>14.3</x:v>
      </x:c>
      <x:c r="B98" s="4" t="str">
        <x:v>售后服务与运维保障</x:v>
      </x:c>
      <x:c r="C98" s="4" t="str">
        <x:v>8</x:v>
      </x:c>
      <x:c r="D98" s="4" t="str">
        <x:v>质保期内，学校组织机构、考核规则、统计口径及已对接接口的合理小幅调整，供应商应免费提供配置、映射和适配支持；重大新增功能或新增系统接入另行确认。</x:v>
      </x:c>
      <x:c r="E98" s="4" t="str">
        <x:v>D25</x:v>
      </x:c>
      <x:c r="F98" s="4" t="str">
        <x:v>D25 本轮未施工</x:v>
      </x:c>
      <x:c r="G98" s="4" t="str">
        <x:v>服务承诺待落实</x:v>
      </x:c>
      <x:c r="H98" s="4" t="str">
        <x:v>明确定义支持流程与留痕，保留重大新增另行确认边界。</x:v>
      </x:c>
    </x:row>
    <x:row r="99" ht="116" customHeight="1">
      <x:c r="A99" s="4" t="str">
        <x:v>14.4</x:v>
      </x:c>
      <x:c r="B99" s="4" t="str">
        <x:v>售后服务与运维保障</x:v>
      </x:c>
      <x:c r="C99" s="4" t="str">
        <x:v>8</x:v>
      </x:c>
      <x:c r="D99" s="4" t="str">
        <x:v>质保期后年度运维服务费原则上不高于本项目合同金额的10%（不含重大新增功能开发及第三方商业软件新增授权费用）。</x:v>
      </x:c>
      <x:c r="E99" s="4" t="str">
        <x:v>D25</x:v>
      </x:c>
      <x:c r="F99" s="4" t="str">
        <x:v>D25 本轮未施工</x:v>
      </x:c>
      <x:c r="G99" s="4" t="str">
        <x:v>服务承诺待落实</x:v>
      </x:c>
      <x:c r="H99" s="4" t="str">
        <x:v>纳入报价和服务约定；不由开发代码擅自变更。</x:v>
      </x:c>
    </x:row>
    <x:row r="100" ht="116" customHeight="1">
      <x:c r="A100" s="4" t="str">
        <x:v>14.5</x:v>
      </x:c>
      <x:c r="B100" s="4" t="str">
        <x:v>售后服务与运维保障</x:v>
      </x:c>
      <x:c r="C100" s="4" t="str">
        <x:v>8</x:v>
      </x:c>
      <x:c r="D100" s="4" t="str">
        <x:v>学校业务数据、数据字典、字段映射、数据库结构、接口文档及学校专属业务配置归采购人所有；本项目定制开发形成的源代码应交付采购人或纳入采购人可控制的代码托管机制。</x:v>
      </x:c>
      <x:c r="E100" s="4" t="str">
        <x:v>D01,D24</x:v>
      </x:c>
      <x:c r="F100" s="4" t="str">
        <x:v>D01 部分推进；D24 部分推进</x:v>
      </x:c>
      <x:c r="G100" s="4" t="str">
        <x:v>缺少实现证据</x:v>
      </x:c>
      <x:c r="H100" s="4" t="str">
        <x:v>交付定制源码与数据字典结构映射配置；无需强制GitHub，学校可控即可。</x:v>
      </x:c>
    </x:row>
    <x:row r="101" ht="116" customHeight="1">
      <x:c r="A101" s="4" t="str">
        <x:v>14.6</x:v>
      </x:c>
      <x:c r="B101" s="4" t="str">
        <x:v>售后服务与运维保障</x:v>
      </x:c>
      <x:c r="C101" s="4" t="str">
        <x:v>9</x:v>
      </x:c>
      <x:c r="D101" s="4" t="str">
        <x:v>系统应支持完整、结构化、可复用的数据导出；合同终止或更换供应商时，应配合完成数据、数据库结构、接口文档、部署配置及规则配置等资料移交，不得以专有格式、加密字段或封闭接口限制数据迁移。</x:v>
      </x:c>
      <x:c r="E101" s="4" t="str">
        <x:v>D24</x:v>
      </x:c>
      <x:c r="F101" s="4" t="str">
        <x:v>D24 部分推进</x:v>
      </x:c>
      <x:c r="G101" s="4" t="str">
        <x:v>仅有界面入口</x:v>
      </x:c>
      <x:c r="H101" s="4" t="str">
        <x:v>完整开放格式导出并从空环境复验数据、附件、规则、结构和配置可复用。</x:v>
      </x:c>
    </x:row>
    <x:row r="102" ht="116" customHeight="1">
      <x:c r="A102" s="4" t="str">
        <x:v>14.7</x:v>
      </x:c>
      <x:c r="B102" s="4" t="str">
        <x:v>售后服务与运维保障</x:v>
      </x:c>
      <x:c r="C102" s="4" t="str">
        <x:v>9</x:v>
      </x:c>
      <x:c r="D102" s="4" t="str">
        <x:v>提供管理员和经办人员培训，并提供用户操作手册及必要的运维说明。</x:v>
      </x:c>
      <x:c r="E102" s="4" t="str">
        <x:v>D24,D25</x:v>
      </x:c>
      <x:c r="F102" s="4" t="str">
        <x:v>D24 部分推进；D25 本轮未施工</x:v>
      </x:c>
      <x:c r="G102" s="4" t="str">
        <x:v>缺少实现证据</x:v>
      </x:c>
      <x:c r="H102" s="4" t="str">
        <x:v>按真实页面编制操作手册并完成培训/试运行记录。</x:v>
      </x:c>
    </x:row>
  </x:sheetData>
  <x:pageMargins left="0.7" right="0.7" top="0.75" bottom="0.75" header="0.3" footer="0.3"/>
  <x:tableParts count="1">
    <x:tablePart xmlns:r="http://schemas.openxmlformats.org/officeDocument/2006/relationships" r:id="Ra82ffefb2c5a47ae"/>
  </x:tableParts>
</x:worksheet>
</file>

<file path=xl/worksheets/sheet4.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11" hidden="0" customWidth="1"/>
    <x:col min="5" max="5" width="12" hidden="0" customWidth="1"/>
    <x:col min="6" max="6" width="45" hidden="0" customWidth="1"/>
    <x:col min="7" max="7" width="44" hidden="0" customWidth="1"/>
  </x:cols>
  <x:sheetData>
    <x:row r="1" ht="34" customHeight="1">
      <x:c r="A1" s="9" t="str">
        <x:v>回归组</x:v>
      </x:c>
      <x:c r="B1" s="9" t="str">
        <x:v>用例数</x:v>
      </x:c>
      <x:c r="C1" s="9" t="str">
        <x:v>通过数</x:v>
      </x:c>
      <x:c r="D1" s="9" t="str">
        <x:v>失败数</x:v>
      </x:c>
      <x:c r="E1" s="9" t="str">
        <x:v>本轮结果</x:v>
      </x:c>
      <x:c r="F1" s="9" t="str">
        <x:v>验证边界</x:v>
      </x:c>
      <x:c r="G1" s="9" t="str">
        <x:v>测试文件</x:v>
      </x:c>
    </x:row>
    <x:row r="2" ht="58" customHeight="1">
      <x:c r="A2" s="4" t="str">
        <x:v>审计及HTTP中间件</x:v>
      </x:c>
      <x:c r="B2" s="4" t="n">
        <x:v>5</x:v>
      </x:c>
      <x:c r="C2" s="4" t="n">
        <x:v>5</x:v>
      </x:c>
      <x:c r="D2" s="4" t="n">
        <x:v>0</x:v>
      </x:c>
      <x:c r="E2" s="4" t="str">
        <x:v>PASS</x:v>
      </x:c>
      <x:c r="F2" s="4" t="str">
        <x:v>真实源码函数＋最小HTTP应用；并非完整正式应用</x:v>
      </x:c>
      <x:c r="G2" s="4" t="str">
        <x:v>tests/p0/test_audit_and_middleware.py</x:v>
      </x:c>
    </x:row>
    <x:row r="3" ht="58" customHeight="1">
      <x:c r="A3" s="4" t="str">
        <x:v>维护、备份、镜像配置</x:v>
      </x:c>
      <x:c r="B3" s="4" t="n">
        <x:v>39</x:v>
      </x:c>
      <x:c r="C3" s="4" t="n">
        <x:v>39</x:v>
      </x:c>
      <x:c r="D3" s="4" t="n">
        <x:v>0</x:v>
      </x:c>
      <x:c r="E3" s="4" t="str">
        <x:v>PASS</x:v>
      </x:c>
      <x:c r="F3" s="4" t="str">
        <x:v>真实文件系统／锁＋显式Docker故障注入；未启动容器</x:v>
      </x:c>
      <x:c r="G3" s="4" t="str">
        <x:v>tests/p0/test_deployment.py</x:v>
      </x:c>
    </x:row>
    <x:row r="4" ht="58" customHeight="1">
      <x:c r="A4" s="4" t="str">
        <x:v>HTTPS资源探测</x:v>
      </x:c>
      <x:c r="B4" s="4" t="n">
        <x:v>8</x:v>
      </x:c>
      <x:c r="C4" s="4" t="n">
        <x:v>8</x:v>
      </x:c>
      <x:c r="D4" s="4" t="n">
        <x:v>0</x:v>
      </x:c>
      <x:c r="E4" s="4" t="str">
        <x:v>PASS</x:v>
      </x:c>
      <x:c r="F4" s="4" t="str">
        <x:v>真实回环TLS＋合成HTTP服务；不是学校应用</x:v>
      </x:c>
      <x:c r="G4" s="4" t="str">
        <x:v>tests/p0/test_https_smoke.py</x:v>
      </x:c>
    </x:row>
    <x:row r="5" ht="58" customHeight="1">
      <x:c r="A5" s="4" t="str">
        <x:v>原代码保留校验</x:v>
      </x:c>
      <x:c r="B5" s="4" t="n">
        <x:v>3</x:v>
      </x:c>
      <x:c r="C5" s="4" t="n">
        <x:v>3</x:v>
      </x:c>
      <x:c r="D5" s="4" t="n">
        <x:v>0</x:v>
      </x:c>
      <x:c r="E5" s="4" t="str">
        <x:v>PASS</x:v>
      </x:c>
      <x:c r="F5" s="4" t="str">
        <x:v>原models字节／原业务函数AST／前端入口</x:v>
      </x:c>
      <x:c r="G5" s="4" t="str">
        <x:v>tests/p0/test_preservation.py</x:v>
      </x:c>
    </x:row>
    <x:row r="6" ht="58" customHeight="1">
      <x:c r="A6" s="4" t="str">
        <x:v>统计与考核范围</x:v>
      </x:c>
      <x:c r="B6" s="4" t="n">
        <x:v>25</x:v>
      </x:c>
      <x:c r="C6" s="4" t="n">
        <x:v>25</x:v>
      </x:c>
      <x:c r="D6" s="4" t="n">
        <x:v>0</x:v>
      </x:c>
      <x:c r="E6" s="4" t="str">
        <x:v>PASS</x:v>
      </x:c>
      <x:c r="F6" s="4" t="str">
        <x:v>SQLAlchemy＋隔离SQLite；不是MySQL验收</x:v>
      </x:c>
      <x:c r="G6" s="4" t="str">
        <x:v>tests/p0/test_read_queries.py</x:v>
      </x:c>
    </x:row>
    <x:row r="7" ht="58" customHeight="1">
      <x:c r="A7" s="4" t="str">
        <x:v>健康与初始化检测</x:v>
      </x:c>
      <x:c r="B7" s="4" t="n">
        <x:v>25</x:v>
      </x:c>
      <x:c r="C7" s="4" t="n">
        <x:v>25</x:v>
      </x:c>
      <x:c r="D7" s="4" t="n">
        <x:v>0</x:v>
      </x:c>
      <x:c r="E7" s="4" t="str">
        <x:v>PASS</x:v>
      </x:c>
      <x:c r="F7" s="4" t="str">
        <x:v>隔离数据库缺件／异常／策略分支</x:v>
      </x:c>
      <x:c r="G7" s="4" t="str">
        <x:v>tests/p0/test_readiness.py</x:v>
      </x:c>
    </x:row>
    <x:row r="8" ht="58" customHeight="1">
      <x:c r="A8" s="4" t="str">
        <x:v>前端查询上下文</x:v>
      </x:c>
      <x:c r="B8" s="4" t="n">
        <x:v>12</x:v>
      </x:c>
      <x:c r="C8" s="4" t="n">
        <x:v>12</x:v>
      </x:c>
      <x:c r="D8" s="4" t="n">
        <x:v>0</x:v>
      </x:c>
      <x:c r="E8" s="4" t="str">
        <x:v>PASS</x:v>
      </x:c>
      <x:c r="F8" s="4" t="str">
        <x:v>Node纯函数及原app片段VM；未运行完整浏览器</x:v>
      </x:c>
      <x:c r="G8" s="4" t="str">
        <x:v>tests/js/scope.test.mjs</x:v>
      </x:c>
    </x:row>
  </x:sheetData>
  <x:pageMargins left="0.7" right="0.7" top="0.75" bottom="0.75" header="0.3" footer="0.3"/>
  <x:tableParts count="1">
    <x:tablePart xmlns:r="http://schemas.openxmlformats.org/officeDocument/2006/relationships" r:id="R40a8a4f1c7904ec7"/>
  </x:tableParts>
</x:worksheet>
</file>

<file path=xl/worksheets/sheet5.xml><?xml version="1.0" encoding="utf-8"?>
<x:worksheet xmlns:x="http://schemas.openxmlformats.org/spreadsheetml/2006/main">
  <x:sheetFormatPr defaultRowHeight="15"/>
  <x:cols>
    <x:col min="1" max="1" width="10" hidden="0" customWidth="1"/>
    <x:col min="2" max="2" width="58" hidden="0" customWidth="1"/>
    <x:col min="3" max="3" width="45" hidden="0" customWidth="1"/>
    <x:col min="4" max="4" width="45" hidden="0" customWidth="1"/>
  </x:cols>
  <x:sheetData>
    <x:row r="1" ht="34" customHeight="1">
      <x:c r="A1" s="9" t="str">
        <x:v>序号</x:v>
      </x:c>
      <x:c r="B1" s="9" t="str">
        <x:v>当前缺失文件／迁移材料</x:v>
      </x:c>
      <x:c r="C1" s="9" t="str">
        <x:v>影响</x:v>
      </x:c>
      <x:c r="D1" s="9" t="str">
        <x:v>处理原则</x:v>
      </x:c>
    </x:row>
    <x:row r="2" ht="50" customHeight="1">
      <x:c r="A2" s="4" t="n">
        <x:v>1</x:v>
      </x:c>
      <x:c r="B2" s="4" t="str">
        <x:v>backend/app/__init__.py</x:v>
      </x:c>
      <x:c r="C2" s="4" t="str">
        <x:v>原正式工程被引用文件未恢复；阻断完整启动或部署</x:v>
      </x:c>
      <x:c r="D2" s="4" t="str">
        <x:v>恢复同版原件，不用测试夹具冒充正式实现</x:v>
      </x:c>
    </x:row>
    <x:row r="3" ht="50" customHeight="1">
      <x:c r="A3" s="4" t="n">
        <x:v>2</x:v>
      </x:c>
      <x:c r="B3" s="4" t="str">
        <x:v>backend/app/config.py</x:v>
      </x:c>
      <x:c r="C3" s="4" t="str">
        <x:v>原正式工程被引用文件未恢复；阻断完整启动或部署</x:v>
      </x:c>
      <x:c r="D3" s="4" t="str">
        <x:v>恢复同版原件，不用测试夹具冒充正式实现</x:v>
      </x:c>
    </x:row>
    <x:row r="4" ht="50" customHeight="1">
      <x:c r="A4" s="4" t="n">
        <x:v>3</x:v>
      </x:c>
      <x:c r="B4" s="4" t="str">
        <x:v>backend/app/core.py</x:v>
      </x:c>
      <x:c r="C4" s="4" t="str">
        <x:v>原正式工程被引用文件未恢复；阻断完整启动或部署</x:v>
      </x:c>
      <x:c r="D4" s="4" t="str">
        <x:v>恢复同版原件，不用测试夹具冒充正式实现</x:v>
      </x:c>
    </x:row>
    <x:row r="5" ht="50" customHeight="1">
      <x:c r="A5" s="4" t="n">
        <x:v>4</x:v>
      </x:c>
      <x:c r="B5" s="4" t="str">
        <x:v>backend/app/schemas.py</x:v>
      </x:c>
      <x:c r="C5" s="4" t="str">
        <x:v>原正式工程被引用文件未恢复；阻断完整启动或部署</x:v>
      </x:c>
      <x:c r="D5" s="4" t="str">
        <x:v>恢复同版原件，不用测试夹具冒充正式实现</x:v>
      </x:c>
    </x:row>
    <x:row r="6" ht="50" customHeight="1">
      <x:c r="A6" s="4" t="n">
        <x:v>5</x:v>
      </x:c>
      <x:c r="B6" s="4" t="str">
        <x:v>backend/app/routes/auth.py</x:v>
      </x:c>
      <x:c r="C6" s="4" t="str">
        <x:v>原正式工程被引用文件未恢复；阻断完整启动或部署</x:v>
      </x:c>
      <x:c r="D6" s="4" t="str">
        <x:v>恢复同版原件，不用测试夹具冒充正式实现</x:v>
      </x:c>
    </x:row>
    <x:row r="7" ht="50" customHeight="1">
      <x:c r="A7" s="4" t="n">
        <x:v>6</x:v>
      </x:c>
      <x:c r="B7" s="4" t="str">
        <x:v>backend/app/routes/admin.py</x:v>
      </x:c>
      <x:c r="C7" s="4" t="str">
        <x:v>原正式工程被引用文件未恢复；阻断完整启动或部署</x:v>
      </x:c>
      <x:c r="D7" s="4" t="str">
        <x:v>恢复同版原件，不用测试夹具冒充正式实现</x:v>
      </x:c>
    </x:row>
    <x:row r="8" ht="50" customHeight="1">
      <x:c r="A8" s="4" t="n">
        <x:v>7</x:v>
      </x:c>
      <x:c r="B8" s="4" t="str">
        <x:v>backend/app/routes/business.py</x:v>
      </x:c>
      <x:c r="C8" s="4" t="str">
        <x:v>原正式工程被引用文件未恢复；阻断完整启动或部署</x:v>
      </x:c>
      <x:c r="D8" s="4" t="str">
        <x:v>恢复同版原件，不用测试夹具冒充正式实现</x:v>
      </x:c>
    </x:row>
    <x:row r="9" ht="50" customHeight="1">
      <x:c r="A9" s="4" t="n">
        <x:v>8</x:v>
      </x:c>
      <x:c r="B9" s="4" t="str">
        <x:v>backend/app/routes/calculations.py</x:v>
      </x:c>
      <x:c r="C9" s="4" t="str">
        <x:v>原正式工程被引用文件未恢复；阻断完整启动或部署</x:v>
      </x:c>
      <x:c r="D9" s="4" t="str">
        <x:v>恢复同版原件，不用测试夹具冒充正式实现</x:v>
      </x:c>
    </x:row>
    <x:row r="10" ht="50" customHeight="1">
      <x:c r="A10" s="4" t="n">
        <x:v>9</x:v>
      </x:c>
      <x:c r="B10" s="4" t="str">
        <x:v>backend/app/routes/files.py</x:v>
      </x:c>
      <x:c r="C10" s="4" t="str">
        <x:v>原正式工程被引用文件未恢复；阻断完整启动或部署</x:v>
      </x:c>
      <x:c r="D10" s="4" t="str">
        <x:v>恢复同版原件，不用测试夹具冒充正式实现</x:v>
      </x:c>
    </x:row>
    <x:row r="11" ht="50" customHeight="1">
      <x:c r="A11" s="4" t="n">
        <x:v>10</x:v>
      </x:c>
      <x:c r="B11" s="4" t="str">
        <x:v>backend/app/routes/tasks.py</x:v>
      </x:c>
      <x:c r="C11" s="4" t="str">
        <x:v>原正式工程被引用文件未恢复；阻断完整启动或部署</x:v>
      </x:c>
      <x:c r="D11" s="4" t="str">
        <x:v>恢复同版原件，不用测试夹具冒充正式实现</x:v>
      </x:c>
    </x:row>
    <x:row r="12" ht="50" customHeight="1">
      <x:c r="A12" s="4" t="n">
        <x:v>11</x:v>
      </x:c>
      <x:c r="B12" s="4" t="str">
        <x:v>backend/app/worker.py</x:v>
      </x:c>
      <x:c r="C12" s="4" t="str">
        <x:v>原正式工程被引用文件未恢复；阻断完整启动或部署</x:v>
      </x:c>
      <x:c r="D12" s="4" t="str">
        <x:v>恢复同版原件，不用测试夹具冒充正式实现</x:v>
      </x:c>
    </x:row>
    <x:row r="13" ht="50" customHeight="1">
      <x:c r="A13" s="4" t="n">
        <x:v>12</x:v>
      </x:c>
      <x:c r="B13" s="4" t="str">
        <x:v>backend/app/healthcheck.py</x:v>
      </x:c>
      <x:c r="C13" s="4" t="str">
        <x:v>原正式工程被引用文件未恢复；阻断完整启动或部署</x:v>
      </x:c>
      <x:c r="D13" s="4" t="str">
        <x:v>恢复同版原件，不用测试夹具冒充正式实现</x:v>
      </x:c>
    </x:row>
    <x:row r="14" ht="50" customHeight="1">
      <x:c r="A14" s="4" t="n">
        <x:v>13</x:v>
      </x:c>
      <x:c r="B14" s="4" t="str">
        <x:v>backend/app/releasecheck.py</x:v>
      </x:c>
      <x:c r="C14" s="4" t="str">
        <x:v>原正式工程被引用文件未恢复；阻断完整启动或部署</x:v>
      </x:c>
      <x:c r="D14" s="4" t="str">
        <x:v>恢复同版原件，不用测试夹具冒充正式实现</x:v>
      </x:c>
    </x:row>
    <x:row r="15" ht="50" customHeight="1">
      <x:c r="A15" s="4" t="n">
        <x:v>14</x:v>
      </x:c>
      <x:c r="B15" s="4" t="str">
        <x:v>backend/app/cli.py</x:v>
      </x:c>
      <x:c r="C15" s="4" t="str">
        <x:v>原正式工程被引用文件未恢复；阻断完整启动或部署</x:v>
      </x:c>
      <x:c r="D15" s="4" t="str">
        <x:v>恢复同版原件，不用测试夹具冒充正式实现</x:v>
      </x:c>
    </x:row>
    <x:row r="16" ht="50" customHeight="1">
      <x:c r="A16" s="4" t="n">
        <x:v>15</x:v>
      </x:c>
      <x:c r="B16" s="4" t="str">
        <x:v>backend/app/grants.py</x:v>
      </x:c>
      <x:c r="C16" s="4" t="str">
        <x:v>原正式工程被引用文件未恢复；阻断完整启动或部署</x:v>
      </x:c>
      <x:c r="D16" s="4" t="str">
        <x:v>恢复同版原件，不用测试夹具冒充正式实现</x:v>
      </x:c>
    </x:row>
    <x:row r="17" ht="50" customHeight="1">
      <x:c r="A17" s="4" t="n">
        <x:v>16</x:v>
      </x:c>
      <x:c r="B17" s="4" t="str">
        <x:v>backend/app/maintenance.py</x:v>
      </x:c>
      <x:c r="C17" s="4" t="str">
        <x:v>原正式工程被引用文件未恢复；阻断完整启动或部署</x:v>
      </x:c>
      <x:c r="D17" s="4" t="str">
        <x:v>恢复同版原件，不用测试夹具冒充正式实现</x:v>
      </x:c>
    </x:row>
    <x:row r="18" ht="50" customHeight="1">
      <x:c r="A18" s="4" t="n">
        <x:v>17</x:v>
      </x:c>
      <x:c r="B18" s="4" t="str">
        <x:v>backend/requirements.txt</x:v>
      </x:c>
      <x:c r="C18" s="4" t="str">
        <x:v>原正式工程被引用文件未恢复；阻断完整启动或部署</x:v>
      </x:c>
      <x:c r="D18" s="4" t="str">
        <x:v>恢复同版原件，不用测试夹具冒充正式实现</x:v>
      </x:c>
    </x:row>
    <x:row r="19" ht="50" customHeight="1">
      <x:c r="A19" s="4" t="n">
        <x:v>18</x:v>
      </x:c>
      <x:c r="B19" s="4" t="str">
        <x:v>frontend/index.html</x:v>
      </x:c>
      <x:c r="C19" s="4" t="str">
        <x:v>原正式工程被引用文件未恢复；阻断完整启动或部署</x:v>
      </x:c>
      <x:c r="D19" s="4" t="str">
        <x:v>恢复同版原件，不用测试夹具冒充正式实现</x:v>
      </x:c>
    </x:row>
    <x:row r="20" ht="50" customHeight="1">
      <x:c r="A20" s="4" t="n">
        <x:v>19</x:v>
      </x:c>
      <x:c r="B20" s="4" t="str">
        <x:v>frontend/icons.js</x:v>
      </x:c>
      <x:c r="C20" s="4" t="str">
        <x:v>原正式工程被引用文件未恢复；阻断完整启动或部署</x:v>
      </x:c>
      <x:c r="D20" s="4" t="str">
        <x:v>恢复同版原件，不用测试夹具冒充正式实现</x:v>
      </x:c>
    </x:row>
    <x:row r="21" ht="50" customHeight="1">
      <x:c r="A21" s="4" t="n">
        <x:v>20</x:v>
      </x:c>
      <x:c r="B21" s="4" t="str">
        <x:v>deploy/Dockerfile.api</x:v>
      </x:c>
      <x:c r="C21" s="4" t="str">
        <x:v>原正式工程被引用文件未恢复；阻断完整启动或部署</x:v>
      </x:c>
      <x:c r="D21" s="4" t="str">
        <x:v>恢复同版原件，不用测试夹具冒充正式实现</x:v>
      </x:c>
    </x:row>
    <x:row r="22" ht="50" customHeight="1">
      <x:c r="A22" s="4" t="n">
        <x:v>21</x:v>
      </x:c>
      <x:c r="B22" s="4" t="str">
        <x:v>deploy/Dockerfile.frontend</x:v>
      </x:c>
      <x:c r="C22" s="4" t="str">
        <x:v>原正式工程被引用文件未恢复；阻断完整启动或部署</x:v>
      </x:c>
      <x:c r="D22" s="4" t="str">
        <x:v>恢复同版原件，不用测试夹具冒充正式实现</x:v>
      </x:c>
    </x:row>
    <x:row r="23" ht="50" customHeight="1">
      <x:c r="A23" s="4" t="n">
        <x:v>22</x:v>
      </x:c>
      <x:c r="B23" s="4" t="str">
        <x:v>deploy/mysql-init/01-users.sh</x:v>
      </x:c>
      <x:c r="C23" s="4" t="str">
        <x:v>原正式工程被引用文件未恢复；阻断完整启动或部署</x:v>
      </x:c>
      <x:c r="D23" s="4" t="str">
        <x:v>恢复同版原件，不用测试夹具冒充正式实现</x:v>
      </x:c>
    </x:row>
    <x:row r="24" ht="50" customHeight="1">
      <x:c r="A24" s="4" t="n">
        <x:v>23</x:v>
      </x:c>
      <x:c r="B24" s="4" t="str">
        <x:v>原Alembic versions/*.py、alembic.ini、env.py</x:v>
      </x:c>
      <x:c r="C24" s="4" t="str">
        <x:v>观察到的真实head为空；20260917_0001仅是继承的期望</x:v>
      </x:c>
      <x:c r="D24" s="4" t="str">
        <x:v>本轮未创建0002，也未reset任何学校数据库</x:v>
      </x:c>
    </x:row>
  </x:sheetData>
  <x:pageMargins left="0.7" right="0.7" top="0.75" bottom="0.75" header="0.3" footer="0.3"/>
  <x:tableParts count="1">
    <x:tablePart xmlns:r="http://schemas.openxmlformats.org/officeDocument/2006/relationships" r:id="R860d8d7694b54813"/>
  </x:tableParts>
</x:worksheet>
</file>