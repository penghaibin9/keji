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2c95d092f04fe2" /></Relationships>
</file>

<file path=xl/workbook.xml><?xml version="1.0" encoding="utf-8"?>
<x:workbook xmlns:x="http://schemas.openxmlformats.org/spreadsheetml/2006/main">
  <x:sheets>
    <x:sheet xmlns:r="http://schemas.openxmlformats.org/officeDocument/2006/relationships" name="推进总览" sheetId="1" r:id="R4d32247c61ac4db2"/>
    <x:sheet xmlns:r="http://schemas.openxmlformats.org/officeDocument/2006/relationships" name="条款101" sheetId="2" r:id="R76133e4a5a684901"/>
    <x:sheet xmlns:r="http://schemas.openxmlformats.org/officeDocument/2006/relationships" name="验证证据" sheetId="3" r:id="Re0cb27a28ac84194"/>
    <x:sheet xmlns:r="http://schemas.openxmlformats.org/officeDocument/2006/relationships" name="官方依据" sheetId="4" r:id="Rfa3b4a9ead6a4dc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9">
    <x:font>
      <x:sz val="11"/>
      <x:name val="Carlito"/>
    </x:font>
    <x:font>
      <x:b/>
      <x:sz val="11"/>
      <x:color rgb="FFFFFFFF"/>
      <x:name val="Carlito"/>
    </x:font>
    <x:font>
      <x:b/>
      <x:sz val="11"/>
      <x:name val="Carlito"/>
    </x:font>
    <x:font>
      <x:b/>
      <x:sz val="11"/>
      <x:color rgb="FF8A5100"/>
      <x:name val="Carlito"/>
    </x:font>
    <x:font>
      <x:b/>
      <x:sz val="11"/>
      <x:color rgb="FFFFFFFF"/>
      <x:name val="Microsoft YaHei"/>
    </x:font>
    <x:font>
      <x:sz val="11"/>
      <x:name val="Microsoft YaHei"/>
    </x:font>
    <x:font>
      <x:b/>
      <x:sz val="11"/>
      <x:name val="Microsoft YaHei"/>
    </x:font>
    <x:font>
      <x:b/>
      <x:sz val="11"/>
      <x:color rgb="FF8A5100"/>
      <x:name val="Microsoft YaHei"/>
    </x:font>
    <x:font>
      <x:b/>
      <x:sz val="15"/>
      <x:color rgb="FFFFFFFF"/>
      <x:name val="Carlito"/>
    </x:font>
  </x:fonts>
  <x:fills count="6">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FFF0CF"/>
      </x:patternFill>
    </x:fill>
    <x:fill>
      <x:patternFill patternType="solid">
        <x:fgColor rgb="FF19364E"/>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4" borderId="0" xfId="0" applyNumberFormat="1" applyFont="1" applyFill="1" applyBorder="1"/>
    <x:xf numFmtId="0" fontId="3" fillId="4" borderId="0" xfId="0" applyNumberFormat="1" applyFont="1" applyFill="1" applyBorder="1"/>
    <x:xf numFmtId="0" fontId="2"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0" borderId="0" xfId="0" applyNumberFormat="1" applyFont="1" applyFill="1" applyBorder="1"/>
    <x:xf numFmtId="0" fontId="4" fillId="2" borderId="0" xfId="0" applyNumberFormat="1" applyFont="1" applyFill="1" applyBorder="1" applyAlignment="1">
      <x:alignment vertical="center" wrapText="1"/>
    </x:xf>
    <x:xf numFmtId="0" fontId="5" fillId="0" borderId="0" xfId="0" applyNumberFormat="1" applyFont="1" applyFill="1" applyBorder="1" applyAlignment="1">
      <x:alignment wrapText="1"/>
    </x:xf>
    <x:xf numFmtId="0" fontId="6" fillId="3" borderId="0" xfId="0" applyNumberFormat="1" applyFont="1" applyFill="1" applyBorder="1"/>
    <x:xf numFmtId="0" fontId="7" fillId="4"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vertical="center" wrapText="1"/>
    </x:xf>
    <x:xf numFmtId="200" fontId="5" fillId="0" borderId="0" xfId="0" applyNumberFormat="1" applyFont="1" applyFill="1" applyBorder="1" applyAlignment="1">
      <x:alignment vertical="center" wrapText="1"/>
    </x:xf>
    <x:xf numFmtId="201" fontId="5"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0" fillId="5" borderId="0" xfId="0" applyNumberFormat="1" applyFont="1" applyFill="1" applyBorder="1" applyAlignment="1">
      <x:alignment vertical="center" wrapText="1"/>
    </x:xf>
    <x:xf numFmtId="0" fontId="8" fillId="5"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cellXfs>
  <x:cellStyles count="1">
    <x:cellStyle name="Normal" xfId="0"/>
  </x:cellStyles>
  <x:dxfs count="8">
    <x:dxf>
      <x:font>
        <x:color rgb="FF185C43"/>
      </x:font>
      <x:fill>
        <x:patternFill>
          <x:bgColor rgb="FFDEF0E7"/>
        </x:patternFill>
      </x:fill>
    </x:dxf>
    <x:dxf>
      <x:font>
        <x:color rgb="FF8A5100"/>
      </x:font>
      <x:fill>
        <x:patternFill>
          <x:bgColor rgb="FFFFF0CF"/>
        </x:patternFill>
      </x:fill>
    </x:dxf>
    <x:dxf>
      <x:font>
        <x:color rgb="FF166574"/>
      </x:font>
      <x:fill>
        <x:patternFill>
          <x:bgColor rgb="FFE1F0F3"/>
        </x:patternFill>
      </x:fill>
    </x:dxf>
    <x:dxf>
      <x:font>
        <x:color rgb="FF9A5D04"/>
      </x:font>
      <x:fill>
        <x:patternFill>
          <x:bgColor rgb="FFFFF1D6"/>
        </x:patternFill>
      </x:fill>
    </x:dxf>
    <x:dxf>
      <x:font>
        <x:color rgb="FF12576B"/>
      </x:font>
      <x:fill>
        <x:patternFill>
          <x:bgColor rgb="FFDDEEF1"/>
        </x:patternFill>
      </x:fill>
    </x:dxf>
    <x:dxf>
      <x:font>
        <x:color rgb="FF805000"/>
      </x:font>
      <x:fill>
        <x:patternFill>
          <x:bgColor rgb="FFFFF1D0"/>
        </x:patternFill>
      </x:fill>
    </x:dxf>
    <x:dxf>
      <x:font>
        <x:color rgb="FF13566A"/>
      </x:font>
      <x:fill>
        <x:patternFill patternType="solid">
          <x:bgColor rgb="FFDCEEF2"/>
        </x:patternFill>
      </x:fill>
    </x:dxf>
    <x:dxf>
      <x:font>
        <x:color rgb="FF986000"/>
      </x:font>
      <x:fill>
        <x:patternFill patternType="solid">
          <x:bgColor rgb="FFFFF1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11777dd9df4fa1" /><Relationship Type="http://schemas.openxmlformats.org/officeDocument/2006/relationships/theme" Target="/xl/theme/theme1.xml" Id="Rbe6833d48ede4fa5" /><Relationship Type="http://schemas.openxmlformats.org/officeDocument/2006/relationships/sharedStrings" Target="/xl/sharedStrings.xml" Id="R1bfafb3e206544dc" /><Relationship Type="http://schemas.openxmlformats.org/officeDocument/2006/relationships/worksheet" Target="/xl/worksheets/sheet1.xml" Id="R4d32247c61ac4db2" /><Relationship Type="http://schemas.openxmlformats.org/officeDocument/2006/relationships/worksheet" Target="/xl/worksheets/sheet2.xml" Id="R76133e4a5a684901" /><Relationship Type="http://schemas.openxmlformats.org/officeDocument/2006/relationships/worksheet" Target="/xl/worksheets/sheet3.xml" Id="Re0cb27a28ac84194" /><Relationship Type="http://schemas.openxmlformats.org/officeDocument/2006/relationships/worksheet" Target="/xl/worksheets/sheet4.xml" Id="Rfa3b4a9ead6a4dca" /></Relationships>
</file>

<file path=xl/tables/table1.xml><?xml version="1.0" encoding="utf-8"?>
<x:table xmlns:x="http://schemas.openxmlformats.org/spreadsheetml/2006/main" id="1" name="R6ClauseTracker" displayName="R6ClauseTracker" ref="A6:J107" headerRowCount="1" totalsRowCount="0" totalsRowShown="0">
  <x:tableColumns count="10">
    <x:tableColumn id="1" name="条款"/>
    <x:tableColumn id="2" name="项目号"/>
    <x:tableColumn id="3" name="服务项目"/>
    <x:tableColumn id="4" name="PDF页"/>
    <x:tableColumn id="5" name="采购原文"/>
    <x:tableColumn id="6" name="本轮状态"/>
    <x:tableColumn id="7" name="R6改动／沿用边界"/>
    <x:tableColumn id="8" name="源码／验证证据"/>
    <x:tableColumn id="9" name="仍需完成"/>
    <x:tableColumn id="10" name="最终验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4e9e5c821345e5" /></Relationships>
</file>

<file path=xl/worksheets/sheet1.xml><?xml version="1.0" encoding="utf-8"?>
<x:worksheet xmlns:x="http://schemas.openxmlformats.org/spreadsheetml/2006/main">
  <x:sheetFormatPr defaultRowHeight="15"/>
  <x:cols>
    <x:col min="1" max="1" width="8" hidden="0" customWidth="1"/>
    <x:col min="2" max="2" width="24" hidden="0" customWidth="1"/>
    <x:col min="3" max="3" width="11" hidden="0" customWidth="1"/>
    <x:col min="4" max="4" width="13" hidden="0" customWidth="1"/>
    <x:col min="5" max="5" width="18" hidden="0" customWidth="1"/>
    <x:col min="6" max="6" width="16" hidden="0" customWidth="1"/>
    <x:col min="7" max="7" width="40" hidden="0" customWidth="1"/>
  </x:cols>
  <x:sheetData>
    <x:row r="1" ht="30" customHeight="1">
      <x:c r="A1" s="29" t="str">
        <x:v>跃科非学历教育｜R10 导入授权与组织归档证据</x:v>
      </x:c>
      <x:c r="B1" s="29"/>
      <x:c r="C1" s="29"/>
      <x:c r="D1" s="29"/>
      <x:c r="E1" s="29"/>
      <x:c r="F1" s="29"/>
      <x:c r="G1" s="29"/>
    </x:row>
    <x:row r="2" ht="30" customHeight="1">
      <x:c r="A2" s="29"/>
      <x:c r="B2" s="29"/>
      <x:c r="C2" s="29"/>
      <x:c r="D2" s="29"/>
      <x:c r="E2" s="29"/>
      <x:c r="F2" s="29"/>
      <x:c r="G2" s="29"/>
    </x:row>
    <x:row r="3" ht="38" customHeight="1">
      <x:c r="A3" s="30" t="str">
        <x:v>原采购 PDF：9页 · 14项 · 101条。定向控制只代表列明的内部子项；真实MySQL、原生浏览器及学校验收仍待。</x:v>
      </x:c>
      <x:c r="B3" s="30"/>
      <x:c r="C3" s="30"/>
      <x:c r="D3" s="30"/>
      <x:c r="E3" s="30"/>
      <x:c r="F3" s="30"/>
      <x:c r="G3" s="30"/>
    </x:row>
    <x:row r="4" ht="32" customHeight="1">
      <x:c r="A4" s="31" t="str">
        <x:v>条款数</x:v>
      </x:c>
      <x:c r="B4" s="31" t="n">
        <x:f>COUNTA('条款101'!A7:A107)</x:f>
        <x:v>101</x:v>
      </x:c>
      <x:c r="C4" s="31" t="str">
        <x:v>R10定向控制</x:v>
      </x:c>
      <x:c r="D4" s="31" t="n">
        <x:f>COUNTIF('条款101'!F7:F107,"R10内部定向控制")</x:f>
        <x:v>20</x:v>
      </x:c>
      <x:c r="E4" s="31" t="str">
        <x:v>生产状态</x:v>
      </x:c>
      <x:c r="F4" s="32" t="str">
        <x:v>BLOCKED</x:v>
      </x:c>
      <x:c r="G4" s="31" t="str">
        <x:v>仅新空校</x:v>
      </x:c>
    </x:row>
    <x:row r="5">
      <x:c r="A5" s="33"/>
      <x:c r="B5" s="33"/>
      <x:c r="C5" s="33"/>
      <x:c r="D5" s="33"/>
      <x:c r="E5" s="33"/>
      <x:c r="F5" s="33"/>
      <x:c r="G5" s="33"/>
    </x:row>
    <x:row r="6">
      <x:c r="A6" s="33"/>
      <x:c r="B6" s="33"/>
      <x:c r="C6" s="33"/>
      <x:c r="D6" s="33"/>
      <x:c r="E6" s="33"/>
      <x:c r="F6" s="33"/>
      <x:c r="G6" s="33"/>
    </x:row>
    <x:row r="7" ht="30" customHeight="1">
      <x:c r="A7" s="29" t="str">
        <x:v>项目</x:v>
      </x:c>
      <x:c r="B7" s="29" t="str">
        <x:v>服务项目</x:v>
      </x:c>
      <x:c r="C7" s="29" t="str">
        <x:v>条款数</x:v>
      </x:c>
      <x:c r="D7" s="29" t="str">
        <x:v>R10定向控制</x:v>
      </x:c>
      <x:c r="E7" s="29" t="str">
        <x:v>沿用未逐条重验</x:v>
      </x:c>
      <x:c r="F7" s="29" t="str">
        <x:v>待学校/现场</x:v>
      </x:c>
      <x:c r="G7" s="29" t="str">
        <x:v>当前推进重点</x:v>
      </x:c>
    </x:row>
    <x:row r="8" ht="55" customHeight="1">
      <x:c r="A8" s="34" t="n">
        <x:v>1</x:v>
      </x:c>
      <x:c r="B8" s="34" t="str">
        <x:v>平台基础与门户功能</x:v>
      </x:c>
      <x:c r="C8" s="35" t="n">
        <x:f>COUNTIF('条款101'!$B$7:$B$107,A8)</x:f>
        <x:v>6</x:v>
      </x:c>
      <x:c r="D8" s="35" t="n">
        <x:f>COUNTIFS('条款101'!$B$7:$B$107,A8,'条款101'!$F$7:$F$107,"R10内部定向控制")</x:f>
        <x:v>2</x:v>
      </x:c>
      <x:c r="E8" s="35" t="n">
        <x:f>COUNTIFS('条款101'!$B$7:$B$107,A8,'条款101'!$F$7:$F$107,"沿用R9，未逐条重验")</x:f>
        <x:v>4</x:v>
      </x:c>
      <x:c r="F8" s="35" t="n">
        <x:f>COUNTIFS('条款101'!$B$7:$B$107,A8,'条款101'!$F$7:$F$107,"待学校/现场")</x:f>
        <x:v>0</x:v>
      </x:c>
      <x:c r="G8" s="34" t="str">
        <x:v>导入入口按当前权限显示；组织归档列表不回读当前名称。</x:v>
      </x:c>
    </x:row>
    <x:row r="9" ht="55" customHeight="1">
      <x:c r="A9" s="34" t="n">
        <x:v>2</x:v>
      </x:c>
      <x:c r="B9" s="34" t="str">
        <x:v>统一认证与组织权限管理</x:v>
      </x:c>
      <x:c r="C9" s="35" t="n">
        <x:f>COUNTIF('条款101'!$B$7:$B$107,A9)</x:f>
        <x:v>8</x:v>
      </x:c>
      <x:c r="D9" s="35" t="n">
        <x:f>COUNTIFS('条款101'!$B$7:$B$107,A9,'条款101'!$F$7:$F$107,"R10内部定向控制")</x:f>
        <x:v>3</x:v>
      </x:c>
      <x:c r="E9" s="35" t="n">
        <x:f>COUNTIFS('条款101'!$B$7:$B$107,A9,'条款101'!$F$7:$F$107,"沿用R9，未逐条重验")</x:f>
        <x:v>3</x:v>
      </x:c>
      <x:c r="F9" s="35" t="n">
        <x:f>COUNTIFS('条款101'!$B$7:$B$107,A9,'条款101'!$F$7:$F$107,"待学校/现场")</x:f>
        <x:v>2</x:v>
      </x:c>
      <x:c r="G9" s="34" t="str">
        <x:v>预览、错误行、回执及确认重新核对授权；不因曾上传而永久可见。</x:v>
      </x:c>
    </x:row>
    <x:row r="10" ht="55" customHeight="1">
      <x:c r="A10" s="34" t="n">
        <x:v>3</x:v>
      </x:c>
      <x:c r="B10" s="34" t="str">
        <x:v>基础配置、字典管理</x:v>
      </x:c>
      <x:c r="C10" s="35" t="n">
        <x:f>COUNTIF('条款101'!$B$7:$B$107,A10)</x:f>
        <x:v>6</x:v>
      </x:c>
      <x:c r="D10" s="35" t="n">
        <x:f>COUNTIFS('条款101'!$B$7:$B$107,A10,'条款101'!$F$7:$F$107,"R10内部定向控制")</x:f>
        <x:v>0</x:v>
      </x:c>
      <x:c r="E10" s="35" t="n">
        <x:f>COUNTIFS('条款101'!$B$7:$B$107,A10,'条款101'!$F$7:$F$107,"沿用R9，未逐条重验")</x:f>
        <x:v>6</x:v>
      </x:c>
      <x:c r="F10" s="35" t="n">
        <x:f>COUNTIFS('条款101'!$B$7:$B$107,A10,'条款101'!$F$7:$F$107,"待学校/现场")</x:f>
        <x:v>0</x:v>
      </x:c>
      <x:c r="G10" s="34" t="str">
        <x:v>不更改既有参数模型和字典；保留现有配置与审计规则。</x:v>
      </x:c>
    </x:row>
    <x:row r="11" ht="55" customHeight="1">
      <x:c r="A11" s="34" t="n">
        <x:v>4</x:v>
      </x:c>
      <x:c r="B11" s="34" t="str">
        <x:v>学校数据中台对接</x:v>
      </x:c>
      <x:c r="C11" s="35" t="n">
        <x:f>COUNTIF('条款101'!$B$7:$B$107,A11)</x:f>
        <x:v>9</x:v>
      </x:c>
      <x:c r="D11" s="35" t="n">
        <x:f>COUNTIFS('条款101'!$B$7:$B$107,A11,'条款101'!$F$7:$F$107,"R10内部定向控制")</x:f>
        <x:v>2</x:v>
      </x:c>
      <x:c r="E11" s="35" t="n">
        <x:f>COUNTIFS('条款101'!$B$7:$B$107,A11,'条款101'!$F$7:$F$107,"沿用R9，未逐条重验")</x:f>
        <x:v>3</x:v>
      </x:c>
      <x:c r="F11" s="35" t="n">
        <x:f>COUNTIFS('条款101'!$B$7:$B$107,A11,'条款101'!$F$7:$F$107,"待学校/现场")</x:f>
        <x:v>4</x:v>
      </x:c>
      <x:c r="G11" s="34" t="str">
        <x:v>本轮加强Excel暂存与授权；真实中台协议与网络仍待学校提供。</x:v>
      </x:c>
    </x:row>
    <x:row r="12" ht="55" customHeight="1">
      <x:c r="A12" s="34" t="n">
        <x:v>5</x:v>
      </x:c>
      <x:c r="B12" s="34" t="str">
        <x:v>教师工作台与个人数据看板</x:v>
      </x:c>
      <x:c r="C12" s="35" t="n">
        <x:f>COUNTIF('条款101'!$B$7:$B$107,A12)</x:f>
        <x:v>6</x:v>
      </x:c>
      <x:c r="D12" s="35" t="n">
        <x:f>COUNTIFS('条款101'!$B$7:$B$107,A12,'条款101'!$F$7:$F$107,"R10内部定向控制")</x:f>
        <x:v>1</x:v>
      </x:c>
      <x:c r="E12" s="35" t="n">
        <x:f>COUNTIFS('条款101'!$B$7:$B$107,A12,'条款101'!$F$7:$F$107,"沿用R9，未逐条重验")</x:f>
        <x:v>5</x:v>
      </x:c>
      <x:c r="F12" s="35" t="n">
        <x:f>COUNTIFS('条款101'!$B$7:$B$107,A12,'条款101'!$F$7:$F$107,"待学校/现场")</x:f>
        <x:v>0</x:v>
      </x:c>
      <x:c r="G12" s="34" t="str">
        <x:v>个人敏感导入数据持续受当前范围约束；其他看板沿用R9。</x:v>
      </x:c>
    </x:row>
    <x:row r="13" ht="55" customHeight="1">
      <x:c r="A13" s="34" t="n">
        <x:v>6</x:v>
      </x:c>
      <x:c r="B13" s="34" t="str">
        <x:v>教研室与二级学院管理</x:v>
      </x:c>
      <x:c r="C13" s="35" t="n">
        <x:f>COUNTIF('条款101'!$B$7:$B$107,A13)</x:f>
        <x:v>6</x:v>
      </x:c>
      <x:c r="D13" s="35" t="n">
        <x:f>COUNTIFS('条款101'!$B$7:$B$107,A13,'条款101'!$F$7:$F$107,"R10内部定向控制")</x:f>
        <x:v>2</x:v>
      </x:c>
      <x:c r="E13" s="35" t="n">
        <x:f>COUNTIFS('条款101'!$B$7:$B$107,A13,'条款101'!$F$7:$F$107,"沿用R9，未逐条重验")</x:f>
        <x:v>4</x:v>
      </x:c>
      <x:c r="F13" s="35" t="n">
        <x:f>COUNTIFS('条款101'!$B$7:$B$107,A13,'条款101'!$F$7:$F$107,"待学校/现场")</x:f>
        <x:v>0</x:v>
      </x:c>
      <x:c r="G13" s="34" t="str">
        <x:v>归档证据关联核验与组织独立权限；打印接口及Excel同口径。</x:v>
      </x:c>
    </x:row>
    <x:row r="14" ht="55" customHeight="1">
      <x:c r="A14" s="34" t="n">
        <x:v>7</x:v>
      </x:c>
      <x:c r="B14" s="34" t="str">
        <x:v>学校管理驾驶舱</x:v>
      </x:c>
      <x:c r="C14" s="35" t="n">
        <x:f>COUNTIF('条款101'!$B$7:$B$107,A14)</x:f>
        <x:v>6</x:v>
      </x:c>
      <x:c r="D14" s="35" t="n">
        <x:f>COUNTIFS('条款101'!$B$7:$B$107,A14,'条款101'!$F$7:$F$107,"R10内部定向控制")</x:f>
        <x:v>0</x:v>
      </x:c>
      <x:c r="E14" s="35" t="n">
        <x:f>COUNTIFS('条款101'!$B$7:$B$107,A14,'条款101'!$F$7:$F$107,"沿用R9，未逐条重验")</x:f>
        <x:v>6</x:v>
      </x:c>
      <x:c r="F14" s="35" t="n">
        <x:f>COUNTIFS('条款101'!$B$7:$B$107,A14,'条款101'!$F$7:$F$107,"待学校/现场")</x:f>
        <x:v>0</x:v>
      </x:c>
      <x:c r="G14" s="34" t="str">
        <x:v>沿用R9同源指标与同步计数；不横向重写驾驶舱。</x:v>
      </x:c>
    </x:row>
    <x:row r="15" ht="55" customHeight="1">
      <x:c r="A15" s="34" t="n">
        <x:v>8</x:v>
      </x:c>
      <x:c r="B15" s="34" t="str">
        <x:v>教师资质管理</x:v>
      </x:c>
      <x:c r="C15" s="35" t="n">
        <x:f>COUNTIF('条款101'!$B$7:$B$107,A15)</x:f>
        <x:v>6</x:v>
      </x:c>
      <x:c r="D15" s="35" t="n">
        <x:f>COUNTIFS('条款101'!$B$7:$B$107,A15,'条款101'!$F$7:$F$107,"R10内部定向控制")</x:f>
        <x:v>0</x:v>
      </x:c>
      <x:c r="E15" s="35" t="n">
        <x:f>COUNTIFS('条款101'!$B$7:$B$107,A15,'条款101'!$F$7:$F$107,"沿用R9，未逐条重验")</x:f>
        <x:v>6</x:v>
      </x:c>
      <x:c r="F15" s="35" t="n">
        <x:f>COUNTIFS('条款101'!$B$7:$B$107,A15,'条款101'!$F$7:$F$107,"待学校/现场")</x:f>
        <x:v>0</x:v>
      </x:c>
      <x:c r="G15" s="34" t="str">
        <x:v>资质与当期附件继续在HTTPS主链复测；本轮不改资质模型。</x:v>
      </x:c>
    </x:row>
    <x:row r="16" ht="55" customHeight="1">
      <x:c r="A16" s="34" t="n">
        <x:v>9</x:v>
      </x:c>
      <x:c r="B16" s="34" t="str">
        <x:v>教师积分激励</x:v>
      </x:c>
      <x:c r="C16" s="35" t="n">
        <x:f>COUNTIF('条款101'!$B$7:$B$107,A16)</x:f>
        <x:v>9</x:v>
      </x:c>
      <x:c r="D16" s="35" t="n">
        <x:f>COUNTIFS('条款101'!$B$7:$B$107,A16,'条款101'!$F$7:$F$107,"R10内部定向控制")</x:f>
        <x:v>0</x:v>
      </x:c>
      <x:c r="E16" s="35" t="n">
        <x:f>COUNTIFS('条款101'!$B$7:$B$107,A16,'条款101'!$F$7:$F$107,"沿用R9，未逐条重验")</x:f>
        <x:v>8</x:v>
      </x:c>
      <x:c r="F16" s="35" t="n">
        <x:f>COUNTIFS('条款101'!$B$7:$B$107,A16,'条款101'!$F$7:$F$107,"待学校/现场")</x:f>
        <x:v>1</x:v>
      </x:c>
      <x:c r="G16" s="34" t="str">
        <x:v>积分试算与确认继续回归；真实学校样本签认仍待。</x:v>
      </x:c>
    </x:row>
    <x:row r="17" ht="55" customHeight="1">
      <x:c r="A17" s="34" t="n">
        <x:v>10</x:v>
      </x:c>
      <x:c r="B17" s="34" t="str">
        <x:v>三级考核管理</x:v>
      </x:c>
      <x:c r="C17" s="35" t="n">
        <x:f>COUNTIF('条款101'!$B$7:$B$107,A17)</x:f>
        <x:v>9</x:v>
      </x:c>
      <x:c r="D17" s="35" t="n">
        <x:f>COUNTIFS('条款101'!$B$7:$B$107,A17,'条款101'!$F$7:$F$107,"R10内部定向控制")</x:f>
        <x:v>5</x:v>
      </x:c>
      <x:c r="E17" s="35" t="n">
        <x:f>COUNTIFS('条款101'!$B$7:$B$107,A17,'条款101'!$F$7:$F$107,"沿用R9，未逐条重验")</x:f>
        <x:v>4</x:v>
      </x:c>
      <x:c r="F17" s="35" t="n">
        <x:f>COUNTIFS('条款101'!$B$7:$B$107,A17,'条款101'!$F$7:$F$107,"待学校/现场")</x:f>
        <x:v>0</x:v>
      </x:c>
      <x:c r="G17" s="34" t="str">
        <x:v>冻结办理轨迹；逐指标对账；列表、排名、打印接口和导出一致。</x:v>
      </x:c>
    </x:row>
    <x:row r="18" ht="55" customHeight="1">
      <x:c r="A18" s="34" t="n">
        <x:v>11</x:v>
      </x:c>
      <x:c r="B18" s="34" t="str">
        <x:v>湘培直通车平台对接</x:v>
      </x:c>
      <x:c r="C18" s="35" t="n">
        <x:f>COUNTIF('条款101'!$B$7:$B$107,A18)</x:f>
        <x:v>9</x:v>
      </x:c>
      <x:c r="D18" s="35" t="n">
        <x:f>COUNTIFS('条款101'!$B$7:$B$107,A18,'条款101'!$F$7:$F$107,"R10内部定向控制")</x:f>
        <x:v>0</x:v>
      </x:c>
      <x:c r="E18" s="35" t="n">
        <x:f>COUNTIFS('条款101'!$B$7:$B$107,A18,'条款101'!$F$7:$F$107,"沿用R9，未逐条重验")</x:f>
        <x:v>3</x:v>
      </x:c>
      <x:c r="F18" s="35" t="n">
        <x:f>COUNTIFS('条款101'!$B$7:$B$107,A18,'条款101'!$F$7:$F$107,"待学校/现场")</x:f>
        <x:v>6</x:v>
      </x:c>
      <x:c r="G18" s="34" t="str">
        <x:v>沿用R9发送/补传一致性；实际省级接口仍未联调。</x:v>
      </x:c>
    </x:row>
    <x:row r="19" ht="55" customHeight="1">
      <x:c r="A19" s="34" t="n">
        <x:v>12</x:v>
      </x:c>
      <x:c r="B19" s="34" t="str">
        <x:v>操作日志、安全审计、消息待办、附件权限</x:v>
      </x:c>
      <x:c r="C19" s="35" t="n">
        <x:f>COUNTIF('条款101'!$B$7:$B$107,A19)</x:f>
        <x:v>6</x:v>
      </x:c>
      <x:c r="D19" s="35" t="n">
        <x:f>COUNTIFS('条款101'!$B$7:$B$107,A19,'条款101'!$F$7:$F$107,"R10内部定向控制")</x:f>
        <x:v>3</x:v>
      </x:c>
      <x:c r="E19" s="35" t="n">
        <x:f>COUNTIFS('条款101'!$B$7:$B$107,A19,'条款101'!$F$7:$F$107,"沿用R9，未逐条重验")</x:f>
        <x:v>3</x:v>
      </x:c>
      <x:c r="F19" s="35" t="n">
        <x:f>COUNTIFS('条款101'!$B$7:$B$107,A19,'条款101'!$F$7:$F$107,"待学校/现场")</x:f>
        <x:v>0</x:v>
      </x:c>
      <x:c r="G19" s="34" t="str">
        <x:v>受限导入列表脱敏；历史轨迹不混入后续日志。</x:v>
      </x:c>
    </x:row>
    <x:row r="20" ht="55" customHeight="1">
      <x:c r="A20" s="34" t="n">
        <x:v>13</x:v>
      </x:c>
      <x:c r="B20" s="34" t="str">
        <x:v>安全保障与部署上线</x:v>
      </x:c>
      <x:c r="C20" s="35" t="n">
        <x:f>COUNTIF('条款101'!$B$7:$B$107,A20)</x:f>
        <x:v>8</x:v>
      </x:c>
      <x:c r="D20" s="35" t="n">
        <x:f>COUNTIFS('条款101'!$B$7:$B$107,A20,'条款101'!$F$7:$F$107,"R10内部定向控制")</x:f>
        <x:v>1</x:v>
      </x:c>
      <x:c r="E20" s="35" t="n">
        <x:f>COUNTIFS('条款101'!$B$7:$B$107,A20,'条款101'!$F$7:$F$107,"沿用R9，未逐条重验")</x:f>
        <x:v>5</x:v>
      </x:c>
      <x:c r="F20" s="35" t="n">
        <x:f>COUNTIFS('条款101'!$B$7:$B$107,A20,'条款101'!$F$7:$F$107,"待学校/现场")</x:f>
        <x:v>2</x:v>
      </x:c>
      <x:c r="G20" s="34" t="str">
        <x:v>562 Python / 56 Node / 87 HTTPS；MySQL与原生浏览器仍阻断。</x:v>
      </x:c>
    </x:row>
    <x:row r="21" ht="55" customHeight="1">
      <x:c r="A21" s="34" t="n">
        <x:v>14</x:v>
      </x:c>
      <x:c r="B21" s="34" t="str">
        <x:v>售后服务与运维保障</x:v>
      </x:c>
      <x:c r="C21" s="35" t="n">
        <x:f>COUNTIF('条款101'!$B$7:$B$107,A21)</x:f>
        <x:v>7</x:v>
      </x:c>
      <x:c r="D21" s="35" t="n">
        <x:f>COUNTIFS('条款101'!$B$7:$B$107,A21,'条款101'!$F$7:$F$107,"R10内部定向控制")</x:f>
        <x:v>1</x:v>
      </x:c>
      <x:c r="E21" s="35" t="n">
        <x:f>COUNTIFS('条款101'!$B$7:$B$107,A21,'条款101'!$F$7:$F$107,"沿用R9，未逐条重验")</x:f>
        <x:v>1</x:v>
      </x:c>
      <x:c r="F21" s="35" t="n">
        <x:f>COUNTIFS('条款101'!$B$7:$B$107,A21,'条款101'!$F$7:$F$107,"待学校/现场")</x:f>
        <x:v>5</x:v>
      </x:c>
      <x:c r="G21" s="34" t="str">
        <x:v>开放移交核对组织归档；试运行、培训、质保履约不由代码代签。</x:v>
      </x:c>
    </x:row>
  </x:sheetData>
  <x:mergeCells>
    <x:mergeCell ref="A1:G2"/>
    <x:mergeCell ref="A3:G3"/>
  </x:mergeCells>
  <x:conditionalFormatting sqref="D8:D21">
    <x:cfRule type="dataBar" priority="1">
      <x:dataBar>
        <x:cfvo type="min"/>
        <x:cfvo type="max"/>
        <x:color rgb="FF218199"/>
      </x:dataBar>
      <x:extLst>
        <x:ext xmlns:x14="http://schemas.microsoft.com/office/spreadsheetml/2009/9/main" uri="{B025F937-C7B1-47D3-B67F-A62EFF666E3E}">
          <x14:id>{DA241CDE-4CB6-F451-CF71-95DDCED57106}</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DA241CDE-4CB6-F451-CF71-95DDCED57106}">
            <x14:dataBar gradient="0">
              <x14:cfvo type="min"/>
              <x14:cfvo type="max"/>
              <x14:fillColor rgb="FF218199"/>
            </x14:dataBar>
          </x14:cfRule>
          <xm:sqref>D8:D21</xm:sqref>
        </x14:conditionalFormatting>
      </x14:conditionalFormattings>
    </x:ext>
  </x:extLst>
</x:worksheet>
</file>

<file path=xl/worksheets/sheet2.xml><?xml version="1.0" encoding="utf-8"?>
<x:worksheet xmlns:x="http://schemas.openxmlformats.org/spreadsheetml/2006/main">
  <x:sheetFormatPr defaultRowHeight="15"/>
  <x:cols>
    <x:col min="1" max="1" width="9" hidden="0" customWidth="1"/>
    <x:col min="2" max="2" width="8" hidden="0" customWidth="1"/>
    <x:col min="3" max="3" width="24" hidden="0" customWidth="1"/>
    <x:col min="4" max="4" width="8" hidden="0" customWidth="1"/>
    <x:col min="5" max="5" width="40" hidden="0" customWidth="1"/>
    <x:col min="6" max="6" width="23" hidden="0" customWidth="1"/>
    <x:col min="7" max="7" width="40" hidden="0" customWidth="1"/>
    <x:col min="8" max="8" width="40" hidden="0" customWidth="1"/>
    <x:col min="9" max="9" width="38" hidden="0" customWidth="1"/>
    <x:col min="10" max="10" width="16" hidden="0" customWidth="1"/>
  </x:cols>
  <x:sheetData>
    <x:row r="1" ht="30" customHeight="1">
      <x:c r="A1" s="29" t="str">
        <x:v>R10｜原采购 PDF 101 条：导入授权与组织归档证据</x:v>
      </x:c>
      <x:c r="B1" s="29"/>
      <x:c r="C1" s="29"/>
      <x:c r="D1" s="29"/>
      <x:c r="E1" s="29"/>
      <x:c r="F1" s="29"/>
      <x:c r="G1" s="29"/>
      <x:c r="H1" s="29"/>
      <x:c r="I1" s="29"/>
      <x:c r="J1" s="29"/>
    </x:row>
    <x:row r="2" ht="30" customHeight="1">
      <x:c r="A2" s="29"/>
      <x:c r="B2" s="29"/>
      <x:c r="C2" s="29"/>
      <x:c r="D2" s="29"/>
      <x:c r="E2" s="29"/>
      <x:c r="F2" s="29"/>
      <x:c r="G2" s="29"/>
      <x:c r="H2" s="29"/>
      <x:c r="I2" s="29"/>
      <x:c r="J2" s="29"/>
    </x:row>
    <x:row r="3" ht="35" customHeight="1">
      <x:c r="A3" s="30" t="str">
        <x:v>来源：acceptance/79a6e12c-5e54-4a9a-9d54-7dc1afb72ee3.pdf；页码列可定位原文。未新增“最终通过”判断。</x:v>
      </x:c>
      <x:c r="B3" s="30"/>
      <x:c r="C3" s="30"/>
      <x:c r="D3" s="30"/>
      <x:c r="E3" s="30"/>
      <x:c r="F3" s="30"/>
      <x:c r="G3" s="30"/>
      <x:c r="H3" s="30"/>
      <x:c r="I3" s="30"/>
      <x:c r="J3" s="30"/>
    </x:row>
    <x:row r="4">
      <x:c r="A4" s="33"/>
      <x:c r="B4" s="33"/>
      <x:c r="C4" s="33"/>
      <x:c r="D4" s="33"/>
      <x:c r="E4" s="33"/>
      <x:c r="F4" s="33"/>
      <x:c r="G4" s="33"/>
      <x:c r="H4" s="33"/>
      <x:c r="I4" s="33"/>
      <x:c r="J4" s="33"/>
    </x:row>
    <x:row r="5">
      <x:c r="A5" s="33"/>
      <x:c r="B5" s="33"/>
      <x:c r="C5" s="33"/>
      <x:c r="D5" s="33"/>
      <x:c r="E5" s="33"/>
      <x:c r="F5" s="33"/>
      <x:c r="G5" s="33"/>
      <x:c r="H5" s="33"/>
      <x:c r="I5" s="33"/>
      <x:c r="J5" s="33"/>
    </x:row>
    <x:row r="6" ht="30" customHeight="1">
      <x:c r="A6" s="29" t="str">
        <x:v>条款</x:v>
      </x:c>
      <x:c r="B6" s="29" t="str">
        <x:v>项目号</x:v>
      </x:c>
      <x:c r="C6" s="29" t="str">
        <x:v>服务项目</x:v>
      </x:c>
      <x:c r="D6" s="29" t="str">
        <x:v>PDF页</x:v>
      </x:c>
      <x:c r="E6" s="29" t="str">
        <x:v>采购原文</x:v>
      </x:c>
      <x:c r="F6" s="29" t="str">
        <x:v>本轮状态</x:v>
      </x:c>
      <x:c r="G6" s="29" t="str">
        <x:v>R10改动／沿用边界</x:v>
      </x:c>
      <x:c r="H6" s="29" t="str">
        <x:v>源码／验证证据</x:v>
      </x:c>
      <x:c r="I6" s="29" t="str">
        <x:v>仍需完成</x:v>
      </x:c>
      <x:c r="J6" s="29" t="str">
        <x:v>最终验收</x:v>
      </x:c>
    </x:row>
    <x:row r="7" ht="84" customHeight="1">
      <x:c r="A7" s="36" t="str">
        <x:v>1.1</x:v>
      </x:c>
      <x:c r="B7" s="37" t="n">
        <x:v>1</x:v>
      </x:c>
      <x:c r="C7" s="37" t="str">
        <x:v>平台基础与门户功能</x:v>
      </x:c>
      <x:c r="D7" s="37" t="str">
        <x:v>1</x:v>
      </x:c>
      <x:c r="E7" s="37" t="str">
        <x:v>建设PC 端非学历教育智慧平台统一门户，作为教师、教研室、二级学院和学校管理部门进入系统后的统一工作入口，统一承载个人数据、管理审核、统计分析和系统配置等业务访问。</x:v>
      </x:c>
      <x:c r="F7" s="37" t="str">
        <x:v>沿用R9，未逐条重验</x:v>
      </x:c>
      <x:c r="G7" s="37" t="str">
        <x:v>沿用R9已交付能力；全套回归通过不等于本条每个细项重新验收。</x:v>
      </x:c>
      <x:c r="H7" s="37" t="str">
        <x:v>evidence/r9/full-python.xml（前轮）；evidence/r10/full-python.xml（整体回归）</x:v>
      </x:c>
      <x:c r="I7" s="37" t="str">
        <x:v>真实MySQL/镜像/代理、原生浏览器、学校代表样本和签认、外部接口按本条适用性继续完成。</x:v>
      </x:c>
      <x:c r="J7" s="37" t="str">
        <x:v>未最终验收</x:v>
      </x:c>
    </x:row>
    <x:row r="8" ht="84" customHeight="1">
      <x:c r="A8" s="36" t="str">
        <x:v>1.2</x:v>
      </x:c>
      <x:c r="B8" s="37" t="n">
        <x:v>1</x:v>
      </x:c>
      <x:c r="C8" s="37" t="str">
        <x:v>平台基础与门户功能</x:v>
      </x:c>
      <x:c r="D8" s="37" t="str">
        <x:v>1</x:v>
      </x:c>
      <x:c r="E8" s="37" t="str">
        <x:v>门户需提供首页、导航菜单、政策通知、数据入口、搜索筛选、待办提醒等基础功能，并按照不同用户角色和权限展示相应菜单、数据范围和业务入口。</x:v>
      </x:c>
      <x:c r="F8" s="37" t="str">
        <x:v>R10内部定向控制</x:v>
      </x:c>
      <x:c r="G8" s="37" t="str">
        <x:v>导入模板与上传类型按当前业务权限显示；无权限的类型不再提供入口。</x:v>
      </x:c>
      <x:c r="H8" s="37" t="str">
        <x:v>tests/js/r10_current_access.test.mjs</x:v>
      </x:c>
      <x:c r="I8" s="37" t="str">
        <x:v>内部控制不等于条款终验；真实MySQL/浏览器/学校条件按本条适用性继续验证。</x:v>
      </x:c>
      <x:c r="J8" s="37" t="str">
        <x:v>未最终验收</x:v>
      </x:c>
    </x:row>
    <x:row r="9" ht="84" customHeight="1">
      <x:c r="A9" s="36" t="str">
        <x:v>1.3</x:v>
      </x:c>
      <x:c r="B9" s="37" t="n">
        <x:v>1</x:v>
      </x:c>
      <x:c r="C9" s="37" t="str">
        <x:v>平台基础与门户功能</x:v>
      </x:c>
      <x:c r="D9" s="37" t="str">
        <x:v>1</x:v>
      </x:c>
      <x:c r="E9" s="37" t="str">
        <x:v>首页需集中呈现与当前用户相关的核心指标、快捷入口、政策通知、待办事项和业务动态，减少用户在不同页面和系统之间反复切换。</x:v>
      </x:c>
      <x:c r="F9" s="37" t="str">
        <x:v>沿用R9，未逐条重验</x:v>
      </x:c>
      <x:c r="G9" s="37" t="str">
        <x:v>沿用R9已交付能力；全套回归通过不等于本条每个细项重新验收。</x:v>
      </x:c>
      <x:c r="H9" s="37" t="str">
        <x:v>evidence/r9/full-python.xml（前轮）；evidence/r10/full-python.xml（整体回归）</x:v>
      </x:c>
      <x:c r="I9" s="37" t="str">
        <x:v>真实MySQL/镜像/代理、原生浏览器、学校代表样本和签认、外部接口按本条适用性继续完成。</x:v>
      </x:c>
      <x:c r="J9" s="37" t="str">
        <x:v>未最终验收</x:v>
      </x:c>
    </x:row>
    <x:row r="10" ht="84" customHeight="1">
      <x:c r="A10" s="36" t="str">
        <x:v>1.4</x:v>
      </x:c>
      <x:c r="B10" s="37" t="n">
        <x:v>1</x:v>
      </x:c>
      <x:c r="C10" s="37" t="str">
        <x:v>平台基础与门户功能</x:v>
      </x:c>
      <x:c r="D10" s="37" t="str">
        <x:v>1</x:v>
      </x:c>
      <x:c r="E10" s="37" t="str">
        <x:v>消息待办需覆盖审核待办、数据同步异常、教师资质到期、考核确认等事项，并支持由待办事项直接跳转至对应业务详情进行处理。</x:v>
      </x:c>
      <x:c r="F10" s="37" t="str">
        <x:v>沿用R9，未逐条重验</x:v>
      </x:c>
      <x:c r="G10" s="37" t="str">
        <x:v>沿用R9已交付能力；全套回归通过不等于本条每个细项重新验收。</x:v>
      </x:c>
      <x:c r="H10" s="37" t="str">
        <x:v>evidence/r9/full-python.xml（前轮）；evidence/r10/full-python.xml（整体回归）</x:v>
      </x:c>
      <x:c r="I10" s="37" t="str">
        <x:v>真实MySQL/镜像/代理、原生浏览器、学校代表样本和签认、外部接口按本条适用性继续完成。</x:v>
      </x:c>
      <x:c r="J10" s="37" t="str">
        <x:v>未最终验收</x:v>
      </x:c>
    </x:row>
    <x:row r="11" ht="84" customHeight="1">
      <x:c r="A11" s="36" t="str">
        <x:v>1.5</x:v>
      </x:c>
      <x:c r="B11" s="37" t="n">
        <x:v>1</x:v>
      </x:c>
      <x:c r="C11" s="37" t="str">
        <x:v>平台基础与门户功能</x:v>
      </x:c>
      <x:c r="D11" s="37" t="str">
        <x:v>1</x:v>
      </x:c>
      <x:c r="E11" s="37" t="str">
        <x:v>平台门户应保持统一的页面布局、导航方式和交互规范，页面展示的数据需与业务明细、统计结果及权限范围保持一致。</x:v>
      </x:c>
      <x:c r="F11" s="37" t="str">
        <x:v>R10内部定向控制</x:v>
      </x:c>
      <x:c r="G11" s="37" t="str">
        <x:v>组织归档列表、详情、排名和Excel统一使用核验过的冻结信息。</x:v>
      </x:c>
      <x:c r="H11" s="37" t="str">
        <x:v>tests/r2/test_r10_org_evidence.py</x:v>
      </x:c>
      <x:c r="I11" s="37" t="str">
        <x:v>内部控制不等于条款终验；真实MySQL/浏览器/学校条件按本条适用性继续验证。</x:v>
      </x:c>
      <x:c r="J11" s="37" t="str">
        <x:v>未最终验收</x:v>
      </x:c>
    </x:row>
    <x:row r="12" ht="84" customHeight="1">
      <x:c r="A12" s="36" t="str">
        <x:v>1.6</x:v>
      </x:c>
      <x:c r="B12" s="37" t="n">
        <x:v>1</x:v>
      </x:c>
      <x:c r="C12" s="37" t="str">
        <x:v>平台基础与门户功能</x:v>
      </x:c>
      <x:c r="D12" s="37" t="str">
        <x:v>1</x:v>
      </x:c>
      <x:c r="E12" s="37" t="str">
        <x:v>项目交付时需完成门户页面、菜单导航、政策通知、搜索筛选、消息待办等功能配置，并提供相应的用户操作说明。</x:v>
      </x:c>
      <x:c r="F12" s="37" t="str">
        <x:v>沿用R9，未逐条重验</x:v>
      </x:c>
      <x:c r="G12" s="37" t="str">
        <x:v>沿用R9已交付能力；全套回归通过不等于本条每个细项重新验收。</x:v>
      </x:c>
      <x:c r="H12" s="37" t="str">
        <x:v>evidence/r9/full-python.xml（前轮）；evidence/r10/full-python.xml（整体回归）</x:v>
      </x:c>
      <x:c r="I12" s="37" t="str">
        <x:v>真实MySQL/镜像/代理、原生浏览器、学校代表样本和签认、外部接口按本条适用性继续完成。</x:v>
      </x:c>
      <x:c r="J12" s="37" t="str">
        <x:v>未最终验收</x:v>
      </x:c>
    </x:row>
    <x:row r="13" ht="84" customHeight="1">
      <x:c r="A13" s="36" t="str">
        <x:v>2.1</x:v>
      </x:c>
      <x:c r="B13" s="37" t="n">
        <x:v>2</x:v>
      </x:c>
      <x:c r="C13" s="37" t="str">
        <x:v>统一认证与组织权限管理</x:v>
      </x:c>
      <x:c r="D13" s="37" t="str">
        <x:v>1</x:v>
      </x:c>
      <x:c r="E13" s="37" t="str">
        <x:v>完成与学校统一认证系统的接口对接，实现单点登录、登录状态校验、用户身份获取、异常提示和退出登录等认证能力。</x:v>
      </x:c>
      <x:c r="F13" s="37" t="str">
        <x:v>待学校/现场</x:v>
      </x:c>
      <x:c r="G13" s="37" t="str">
        <x:v>沿用R9已有内部准备；本条仍需真实学校或现场条件，未擅自替代签认。</x:v>
      </x:c>
      <x:c r="H13" s="37" t="str">
        <x:v>R5原基线 + evidence/r6/test_summary.json（回归集合，不等于逐条功能验收）；evidence/r8/full-python.xml（整体回归）</x:v>
      </x:c>
      <x:c r="I13" s="37" t="str">
        <x:v>真实MySQL/镜像/代理、原生浏览器、学校代表样本和签认、外部接口按本条适用性继续完成。 学校/省级协议、字段字典、网络凭据与责任方联调；不能用测试替身替代。</x:v>
      </x:c>
      <x:c r="J13" s="37" t="str">
        <x:v>未最终验收</x:v>
      </x:c>
    </x:row>
    <x:row r="14" ht="84" customHeight="1">
      <x:c r="A14" s="36" t="str">
        <x:v>2.2</x:v>
      </x:c>
      <x:c r="B14" s="37" t="n">
        <x:v>2</x:v>
      </x:c>
      <x:c r="C14" s="37" t="str">
        <x:v>统一认证与组织权限管理</x:v>
      </x:c>
      <x:c r="D14" s="37" t="str">
        <x:v>1</x:v>
      </x:c>
      <x:c r="E14" s="37" t="str">
        <x:v>建立教师、教研室、二级学院、学校管理部门四级角色模型，并结合用户身份和组织归属加载相应的系统菜单、操作权限和数据范围。</x:v>
      </x:c>
      <x:c r="F14" s="37" t="str">
        <x:v>沿用R9，未逐条重验</x:v>
      </x:c>
      <x:c r="G14" s="37" t="str">
        <x:v>沿用R9已交付能力；全套回归通过不等于本条每个细项重新验收。</x:v>
      </x:c>
      <x:c r="H14" s="37" t="str">
        <x:v>evidence/r9/full-python.xml（前轮）；evidence/r10/full-python.xml（整体回归）</x:v>
      </x:c>
      <x:c r="I14" s="37" t="str">
        <x:v>真实MySQL/镜像/代理、原生浏览器、学校代表样本和签认、外部接口按本条适用性继续完成。</x:v>
      </x:c>
      <x:c r="J14" s="37" t="str">
        <x:v>未最终验收</x:v>
      </x:c>
    </x:row>
    <x:row r="15" ht="84" customHeight="1">
      <x:c r="A15" s="36" t="str">
        <x:v>2.3</x:v>
      </x:c>
      <x:c r="B15" s="37" t="n">
        <x:v>2</x:v>
      </x:c>
      <x:c r="C15" s="37" t="str">
        <x:v>统一认证与组织权限管理</x:v>
      </x:c>
      <x:c r="D15" s="37" t="str">
        <x:v>1</x:v>
      </x:c>
      <x:c r="E15" s="37" t="str">
        <x:v>权限控制需覆盖菜单权限、操作权限、数据权限和导出权限；教师仅访问本人数据，教研室访问本教研室数据，二级学院访问本学院数据，学校管理部门按授权访问全校数据并进行统筹配置。</x:v>
      </x:c>
      <x:c r="F15" s="37" t="str">
        <x:v>R10内部定向控制</x:v>
      </x:c>
      <x:c r="G15" s="37" t="str">
        <x:v>导入预览、错误行、确认和回执都检查当前角色、组织与业务读取权限。</x:v>
      </x:c>
      <x:c r="H15" s="37" t="str">
        <x:v>tests/r2/test_r10_import_access.py</x:v>
      </x:c>
      <x:c r="I15" s="37" t="str">
        <x:v>内部控制不等于条款终验；真实MySQL/浏览器/学校条件按本条适用性继续验证。</x:v>
      </x:c>
      <x:c r="J15" s="37" t="str">
        <x:v>未最终验收</x:v>
      </x:c>
    </x:row>
    <x:row r="16" ht="84" customHeight="1">
      <x:c r="A16" s="36" t="str">
        <x:v>2.4</x:v>
      </x:c>
      <x:c r="B16" s="37" t="n">
        <x:v>2</x:v>
      </x:c>
      <x:c r="C16" s="37" t="str">
        <x:v>统一认证与组织权限管理</x:v>
      </x:c>
      <x:c r="D16" s="37" t="str">
        <x:v>1</x:v>
      </x:c>
      <x:c r="E16" s="37" t="str">
        <x:v>统一认证获取的账号、姓名、组织、角色或身份标识等信息需与平台用户和组织信息建立对应关系，保证登录身份、组织范围和业务数据关联一致。</x:v>
      </x:c>
      <x:c r="F16" s="37" t="str">
        <x:v>沿用R9，未逐条重验</x:v>
      </x:c>
      <x:c r="G16" s="37" t="str">
        <x:v>沿用R9已交付能力；全套回归通过不等于本条每个细项重新验收。</x:v>
      </x:c>
      <x:c r="H16" s="37" t="str">
        <x:v>evidence/r9/full-python.xml（前轮）；evidence/r10/full-python.xml（整体回归）</x:v>
      </x:c>
      <x:c r="I16" s="37" t="str">
        <x:v>真实MySQL/镜像/代理、原生浏览器、学校代表样本和签认、外部接口按本条适用性继续完成。</x:v>
      </x:c>
      <x:c r="J16" s="37" t="str">
        <x:v>未最终验收</x:v>
      </x:c>
    </x:row>
    <x:row r="17" ht="84" customHeight="1">
      <x:c r="A17" s="36" t="str">
        <x:v>2.5</x:v>
      </x:c>
      <x:c r="B17" s="37" t="n">
        <x:v>2</x:v>
      </x:c>
      <x:c r="C17" s="37" t="str">
        <x:v>统一认证与组织权限管理</x:v>
      </x:c>
      <x:c r="D17" s="37" t="str">
        <x:v>1</x:v>
      </x:c>
      <x:c r="E17" s="37" t="str">
        <x:v>对异常登录、无权限访问、越权操作等情况需进行拦截或提示并形成安全审计记录；权限越权测试应做到零通过。</x:v>
      </x:c>
      <x:c r="F17" s="37" t="str">
        <x:v>R10内部定向控制</x:v>
      </x:c>
      <x:c r="G17" s="37" t="str">
        <x:v>跨组织、撤销读取权限、失去管理员身份及旧授权证明均有拒绝用例。</x:v>
      </x:c>
      <x:c r="H17" s="37" t="str">
        <x:v>tests/r2/test_r10_import_access.py</x:v>
      </x:c>
      <x:c r="I17" s="37" t="str">
        <x:v>内部控制不等于条款终验；真实MySQL/浏览器/学校条件按本条适用性继续验证。</x:v>
      </x:c>
      <x:c r="J17" s="37" t="str">
        <x:v>未最终验收</x:v>
      </x:c>
    </x:row>
    <x:row r="18" ht="84" customHeight="1">
      <x:c r="A18" s="36" t="str">
        <x:v>2.6</x:v>
      </x:c>
      <x:c r="B18" s="37" t="n">
        <x:v>2</x:v>
      </x:c>
      <x:c r="C18" s="37" t="str">
        <x:v>统一认证与组织权限管理</x:v>
      </x:c>
      <x:c r="D18" s="37" t="str">
        <x:v>2</x:v>
      </x:c>
      <x:c r="E18" s="37" t="str">
        <x:v>项目实施过程中需完成统一认证接口参数、身份字段、角色映射和权限范围确认，并形成接口配置及权限配置说明。</x:v>
      </x:c>
      <x:c r="F18" s="37" t="str">
        <x:v>待学校/现场</x:v>
      </x:c>
      <x:c r="G18" s="37" t="str">
        <x:v>沿用R9已有内部准备；本条仍需真实学校或现场条件，未擅自替代签认。</x:v>
      </x:c>
      <x:c r="H18" s="37" t="str">
        <x:v>R5原基线 + evidence/r6/test_summary.json（回归集合，不等于逐条功能验收）；evidence/r8/full-python.xml（整体回归）</x:v>
      </x:c>
      <x:c r="I18" s="37" t="str">
        <x:v>真实MySQL/镜像/代理、原生浏览器、学校代表样本和签认、外部接口按本条适用性继续完成。 学校/省级协议、字段字典、网络凭据与责任方联调；不能用测试替身替代。</x:v>
      </x:c>
      <x:c r="J18" s="37" t="str">
        <x:v>未最终验收</x:v>
      </x:c>
    </x:row>
    <x:row r="19" ht="84" customHeight="1">
      <x:c r="A19" s="36" t="str">
        <x:v>2.7</x:v>
      </x:c>
      <x:c r="B19" s="37" t="n">
        <x:v>2</x:v>
      </x:c>
      <x:c r="C19" s="37" t="str">
        <x:v>统一认证与组织权限管理</x:v>
      </x:c>
      <x:c r="D19" s="37" t="str">
        <x:v>2</x:v>
      </x:c>
      <x:c r="E19" s="37" t="str">
        <x:v>权限配置应支持按角色进行批量授权，并支持复制已有角色的菜单权限、操作权限和数据权限配置，提高权限初始化和调整效率。</x:v>
      </x:c>
      <x:c r="F19" s="37" t="str">
        <x:v>沿用R9，未逐条重验</x:v>
      </x:c>
      <x:c r="G19" s="37" t="str">
        <x:v>沿用R9已交付能力；全套回归通过不等于本条每个细项重新验收。</x:v>
      </x:c>
      <x:c r="H19" s="37" t="str">
        <x:v>evidence/r9/full-python.xml（前轮）；evidence/r10/full-python.xml（整体回归）</x:v>
      </x:c>
      <x:c r="I19" s="37" t="str">
        <x:v>真实MySQL/镜像/代理、原生浏览器、学校代表样本和签认、外部接口按本条适用性继续完成。</x:v>
      </x:c>
      <x:c r="J19" s="37" t="str">
        <x:v>未最终验收</x:v>
      </x:c>
    </x:row>
    <x:row r="20" ht="84" customHeight="1">
      <x:c r="A20" s="36" t="str">
        <x:v>2.8</x:v>
      </x:c>
      <x:c r="B20" s="37" t="n">
        <x:v>2</x:v>
      </x:c>
      <x:c r="C20" s="37" t="str">
        <x:v>统一认证与组织权限管理</x:v>
      </x:c>
      <x:c r="D20" s="37" t="str">
        <x:v>2</x:v>
      </x:c>
      <x:c r="E20" s="37" t="str">
        <x:v>当用户所属组织或角色发生调整后，相应的数据访问范围应能够随组织或角色关系同步更新，无需逐用户重复配置数据权限。</x:v>
      </x:c>
      <x:c r="F20" s="37" t="str">
        <x:v>R10内部定向控制</x:v>
      </x:c>
      <x:c r="G20" s="37" t="str">
        <x:v>导入涉及的教师或上传人组织变化后重新校验；无关教师新增不误伤正常预览。</x:v>
      </x:c>
      <x:c r="H20" s="37" t="str">
        <x:v>tests/r2/test_r10_import_access.py</x:v>
      </x:c>
      <x:c r="I20" s="37" t="str">
        <x:v>内部控制不等于条款终验；真实MySQL/浏览器/学校条件按本条适用性继续验证。</x:v>
      </x:c>
      <x:c r="J20" s="37" t="str">
        <x:v>未最终验收</x:v>
      </x:c>
    </x:row>
    <x:row r="21" ht="84" customHeight="1">
      <x:c r="A21" s="36" t="str">
        <x:v>3.1</x:v>
      </x:c>
      <x:c r="B21" s="37" t="n">
        <x:v>3</x:v>
      </x:c>
      <x:c r="C21" s="37" t="str">
        <x:v>基础配置、字典管理</x:v>
      </x:c>
      <x:c r="D21" s="37" t="str">
        <x:v>2</x:v>
      </x:c>
      <x:c r="E21" s="37" t="str">
        <x:v>提供平台运行所需的基础配置和字典管理能力，用于维护系统参数、业务字典、状态值、考核周期及其他可配置基础数据。</x:v>
      </x:c>
      <x:c r="F21" s="37" t="str">
        <x:v>沿用R9，未逐条重验</x:v>
      </x:c>
      <x:c r="G21" s="37" t="str">
        <x:v>沿用R9已交付能力；全套回归通过不等于本条每个细项重新验收。</x:v>
      </x:c>
      <x:c r="H21" s="37" t="str">
        <x:v>evidence/r9/full-python.xml（前轮）；evidence/r10/full-python.xml（整体回归）</x:v>
      </x:c>
      <x:c r="I21" s="37" t="str">
        <x:v>真实MySQL/镜像/代理、原生浏览器、学校代表样本和签认、外部接口按本条适用性继续完成。</x:v>
      </x:c>
      <x:c r="J21" s="37" t="str">
        <x:v>未最终验收</x:v>
      </x:c>
    </x:row>
    <x:row r="22" ht="84" customHeight="1">
      <x:c r="A22" s="36" t="str">
        <x:v>3.2</x:v>
      </x:c>
      <x:c r="B22" s="37" t="n">
        <x:v>3</x:v>
      </x:c>
      <x:c r="C22" s="37" t="str">
        <x:v>基础配置、字典管理</x:v>
      </x:c>
      <x:c r="D22" s="37" t="str">
        <x:v>2</x:v>
      </x:c>
      <x:c r="E22" s="37" t="str">
        <x:v>基础配置应采用配置化方式管理，满足平台上线初始化以及后续业务规则、展示口径和运行参数合理调整的需要。</x:v>
      </x:c>
      <x:c r="F22" s="37" t="str">
        <x:v>沿用R9，未逐条重验</x:v>
      </x:c>
      <x:c r="G22" s="37" t="str">
        <x:v>沿用R9已交付能力；全套回归通过不等于本条每个细项重新验收。</x:v>
      </x:c>
      <x:c r="H22" s="37" t="str">
        <x:v>evidence/r9/full-python.xml（前轮）；evidence/r10/full-python.xml（整体回归）</x:v>
      </x:c>
      <x:c r="I22" s="37" t="str">
        <x:v>真实MySQL/镜像/代理、原生浏览器、学校代表样本和签认、外部接口按本条适用性继续完成。</x:v>
      </x:c>
      <x:c r="J22" s="37" t="str">
        <x:v>未最终验收</x:v>
      </x:c>
    </x:row>
    <x:row r="23" ht="84" customHeight="1">
      <x:c r="A23" s="36" t="str">
        <x:v>3.3</x:v>
      </x:c>
      <x:c r="B23" s="37" t="n">
        <x:v>3</x:v>
      </x:c>
      <x:c r="C23" s="37" t="str">
        <x:v>基础配置、字典管理</x:v>
      </x:c>
      <x:c r="D23" s="37" t="str">
        <x:v>2</x:v>
      </x:c>
      <x:c r="E23" s="37" t="str">
        <x:v>支持对组织机构、角色权限、字典项、考核周期、系统参数、管理员账号和接口参数等上线基础信息进行初始化配置。</x:v>
      </x:c>
      <x:c r="F23" s="37" t="str">
        <x:v>沿用R9，未逐条重验</x:v>
      </x:c>
      <x:c r="G23" s="37" t="str">
        <x:v>沿用R9已交付能力；全套回归通过不等于本条每个细项重新验收。</x:v>
      </x:c>
      <x:c r="H23" s="37" t="str">
        <x:v>evidence/r9/full-python.xml（前轮）；evidence/r10/full-python.xml（整体回归）</x:v>
      </x:c>
      <x:c r="I23" s="37" t="str">
        <x:v>真实MySQL/镜像/代理、原生浏览器、学校代表样本和签认、外部接口按本条适用性继续完成。</x:v>
      </x:c>
      <x:c r="J23" s="37" t="str">
        <x:v>未最终验收</x:v>
      </x:c>
    </x:row>
    <x:row r="24" ht="84" customHeight="1">
      <x:c r="A24" s="36" t="str">
        <x:v>3.4</x:v>
      </x:c>
      <x:c r="B24" s="37" t="n">
        <x:v>3</x:v>
      </x:c>
      <x:c r="C24" s="37" t="str">
        <x:v>基础配置、字典管理</x:v>
      </x:c>
      <x:c r="D24" s="37" t="str">
        <x:v>2</x:v>
      </x:c>
      <x:c r="E24" s="37" t="str">
        <x:v>基础字典和参数调整后应能够在相关业务页面、统计口径和接口处理中统一生效，避免同一业务含义在不同模块出现不一致。</x:v>
      </x:c>
      <x:c r="F24" s="37" t="str">
        <x:v>沿用R9，未逐条重验</x:v>
      </x:c>
      <x:c r="G24" s="37" t="str">
        <x:v>沿用R9已交付能力；全套回归通过不等于本条每个细项重新验收。</x:v>
      </x:c>
      <x:c r="H24" s="37" t="str">
        <x:v>evidence/r9/full-python.xml（前轮）；evidence/r10/full-python.xml（整体回归）</x:v>
      </x:c>
      <x:c r="I24" s="37" t="str">
        <x:v>真实MySQL/镜像/代理、原生浏览器、学校代表样本和签认、外部接口按本条适用性继续完成。</x:v>
      </x:c>
      <x:c r="J24" s="37" t="str">
        <x:v>未最终验收</x:v>
      </x:c>
    </x:row>
    <x:row r="25" ht="84" customHeight="1">
      <x:c r="A25" s="36" t="str">
        <x:v>3.5</x:v>
      </x:c>
      <x:c r="B25" s="37" t="n">
        <x:v>3</x:v>
      </x:c>
      <x:c r="C25" s="37" t="str">
        <x:v>基础配置、字典管理</x:v>
      </x:c>
      <x:c r="D25" s="37" t="str">
        <x:v>2</x:v>
      </x:c>
      <x:c r="E25" s="37" t="str">
        <x:v>对涉及考核、权限、接口等关键配置的新增、修改和调整需保留操作人、操作时间、调整前值、调整后值及调整原因等记录。</x:v>
      </x:c>
      <x:c r="F25" s="37" t="str">
        <x:v>沿用R9，未逐条重验</x:v>
      </x:c>
      <x:c r="G25" s="37" t="str">
        <x:v>沿用R9已交付能力；全套回归通过不等于本条每个细项重新验收。</x:v>
      </x:c>
      <x:c r="H25" s="37" t="str">
        <x:v>evidence/r9/full-python.xml（前轮）；evidence/r10/full-python.xml（整体回归）</x:v>
      </x:c>
      <x:c r="I25" s="37" t="str">
        <x:v>真实MySQL/镜像/代理、原生浏览器、学校代表样本和签认、外部接口按本条适用性继续完成。</x:v>
      </x:c>
      <x:c r="J25" s="37" t="str">
        <x:v>未最终验收</x:v>
      </x:c>
    </x:row>
    <x:row r="26" ht="84" customHeight="1">
      <x:c r="A26" s="36" t="str">
        <x:v>3.6</x:v>
      </x:c>
      <x:c r="B26" s="37" t="n">
        <x:v>3</x:v>
      </x:c>
      <x:c r="C26" s="37" t="str">
        <x:v>基础配置、字典管理</x:v>
      </x:c>
      <x:c r="D26" s="37" t="str">
        <x:v>2</x:v>
      </x:c>
      <x:c r="E26" s="37" t="str">
        <x:v>项目交付时需形成平台基础参数、字典项和初始化配置清单。</x:v>
      </x:c>
      <x:c r="F26" s="37" t="str">
        <x:v>沿用R9，未逐条重验</x:v>
      </x:c>
      <x:c r="G26" s="37" t="str">
        <x:v>沿用R9已交付能力；全套回归通过不等于本条每个细项重新验收。</x:v>
      </x:c>
      <x:c r="H26" s="37" t="str">
        <x:v>evidence/r9/full-python.xml（前轮）；evidence/r10/full-python.xml（整体回归）</x:v>
      </x:c>
      <x:c r="I26" s="37" t="str">
        <x:v>真实MySQL/镜像/代理、原生浏览器、学校代表样本和签认、外部接口按本条适用性继续完成。</x:v>
      </x:c>
      <x:c r="J26" s="37" t="str">
        <x:v>未最终验收</x:v>
      </x:c>
    </x:row>
    <x:row r="27" ht="84" customHeight="1">
      <x:c r="A27" s="36" t="str">
        <x:v>4.1</x:v>
      </x:c>
      <x:c r="B27" s="37" t="n">
        <x:v>4</x:v>
      </x:c>
      <x:c r="C27" s="37" t="str">
        <x:v>学校数据中台对接</x:v>
      </x:c>
      <x:c r="D27" s="37" t="str">
        <x:v>2</x:v>
      </x:c>
      <x:c r="E27" s="37" t="str">
        <x:v>对接学校数据中台，接入教师人事信息、培训收入数据、课程人次数据、培训项目基础信息、课程基础信息等平台建设所需数据。</x:v>
      </x:c>
      <x:c r="F27" s="37" t="str">
        <x:v>待学校/现场</x:v>
      </x:c>
      <x:c r="G27" s="37" t="str">
        <x:v>沿用R9已有内部准备；本条仍需真实学校或现场条件，未擅自替代签认。</x:v>
      </x:c>
      <x:c r="H27" s="37" t="str">
        <x:v>R5原基线 + evidence/r6/test_summary.json（回归集合，不等于逐条功能验收）；evidence/r8/full-python.xml（整体回归）</x:v>
      </x:c>
      <x:c r="I27" s="37" t="str">
        <x:v>真实MySQL/镜像/代理、原生浏览器、学校代表样本和签认、外部接口按本条适用性继续完成。 学校/省级协议、字段字典、网络凭据与责任方联调；不能用测试替身替代。</x:v>
      </x:c>
      <x:c r="J27" s="37" t="str">
        <x:v>未最终验收</x:v>
      </x:c>
    </x:row>
    <x:row r="28" ht="84" customHeight="1">
      <x:c r="A28" s="36" t="str">
        <x:v>4.2</x:v>
      </x:c>
      <x:c r="B28" s="37" t="n">
        <x:v>4</x:v>
      </x:c>
      <x:c r="C28" s="37" t="str">
        <x:v>学校数据中台对接</x:v>
      </x:c>
      <x:c r="D28" s="37" t="str">
        <x:v>2</x:v>
      </x:c>
      <x:c r="E28" s="37" t="str">
        <x:v>接口开发前需由采购人、供应商及相关系统责任方共同确认接口清单、字段字典、数据提供方式、同步频率、历史数据范围及接口责任边界，并形成书面确认清单。</x:v>
      </x:c>
      <x:c r="F28" s="37" t="str">
        <x:v>待学校/现场</x:v>
      </x:c>
      <x:c r="G28" s="37" t="str">
        <x:v>沿用R9已有内部准备；本条仍需真实学校或现场条件，未擅自替代签认。</x:v>
      </x:c>
      <x:c r="H28" s="37" t="str">
        <x:v>R5原基线 + evidence/r6/test_summary.json（回归集合，不等于逐条功能验收）；evidence/r8/full-python.xml（整体回归）</x:v>
      </x:c>
      <x:c r="I28" s="37" t="str">
        <x:v>真实MySQL/镜像/代理、原生浏览器、学校代表样本和签认、外部接口按本条适用性继续完成。 学校/省级协议、字段字典、网络凭据与责任方联调；不能用测试替身替代。</x:v>
      </x:c>
      <x:c r="J28" s="37" t="str">
        <x:v>未最终验收</x:v>
      </x:c>
    </x:row>
    <x:row r="29" ht="84" customHeight="1">
      <x:c r="A29" s="36" t="str">
        <x:v>4.3</x:v>
      </x:c>
      <x:c r="B29" s="37" t="n">
        <x:v>4</x:v>
      </x:c>
      <x:c r="C29" s="37" t="str">
        <x:v>学校数据中台对接</x:v>
      </x:c>
      <x:c r="D29" s="37" t="str">
        <x:v>2</x:v>
      </x:c>
      <x:c r="E29" s="37" t="str">
        <x:v>对接数据需完成字段映射、数据清洗、规则校验、敏感数据脱敏和入库处理，形成可供教师工作台、分级管理、资质、积分、考核和统计分析使用的数据底座。</x:v>
      </x:c>
      <x:c r="F29" s="37" t="str">
        <x:v>R10内部定向控制</x:v>
      </x:c>
      <x:c r="G29" s="37" t="str">
        <x:v>内部Excel暂存数据不因“本人曾上传”而永久可见；未接通真实数据中台。</x:v>
      </x:c>
      <x:c r="H29" s="37" t="str">
        <x:v>tests/r2/test_r10_import_access.py</x:v>
      </x:c>
      <x:c r="I29" s="37" t="str">
        <x:v>内部控制不等于条款终验；真实MySQL/浏览器/学校条件按本条适用性继续验证。</x:v>
      </x:c>
      <x:c r="J29" s="37" t="str">
        <x:v>未最终验收</x:v>
      </x:c>
    </x:row>
    <x:row r="30" ht="84" customHeight="1">
      <x:c r="A30" s="36" t="str">
        <x:v>4.4</x:v>
      </x:c>
      <x:c r="B30" s="37" t="n">
        <x:v>4</x:v>
      </x:c>
      <x:c r="C30" s="37" t="str">
        <x:v>学校数据中台对接</x:v>
      </x:c>
      <x:c r="D30" s="37" t="str">
        <x:v>3</x:v>
      </x:c>
      <x:c r="E30" s="37" t="str">
        <x:v>数据接入应支持全量初始化、增量同步、定时同步和人工触发等模式；同步失败时应支持自动重试、异常记录、人工补采及必要的数据恢复/回滚处理。</x:v>
      </x:c>
      <x:c r="F30" s="37" t="str">
        <x:v>沿用R9，未逐条重验</x:v>
      </x:c>
      <x:c r="G30" s="37" t="str">
        <x:v>沿用R9已交付能力；全套回归通过不等于本条每个细项重新验收。</x:v>
      </x:c>
      <x:c r="H30" s="37" t="str">
        <x:v>evidence/r9/full-python.xml（前轮）；evidence/r10/full-python.xml（整体回归）</x:v>
      </x:c>
      <x:c r="I30" s="37" t="str">
        <x:v>真实中台分页/全量边界与增量游标约定；当前只接纳完整且不超过1000行的单个适配器处理单元，部分页会阻断而不伪装完成。</x:v>
      </x:c>
      <x:c r="J30" s="37" t="str">
        <x:v>未最终验收</x:v>
      </x:c>
    </x:row>
    <x:row r="31" ht="84" customHeight="1">
      <x:c r="A31" s="36" t="str">
        <x:v>4.5</x:v>
      </x:c>
      <x:c r="B31" s="37" t="n">
        <x:v>4</x:v>
      </x:c>
      <x:c r="C31" s="37" t="str">
        <x:v>学校数据中台对接</x:v>
      </x:c>
      <x:c r="D31" s="37" t="str">
        <x:v>3</x:v>
      </x:c>
      <x:c r="E31" s="37" t="str">
        <x:v>数据接入过程需记录采集批次、处理状态、成功数量、失败数量、数据质量问题和异常处理状态；对字段缺失、格式异常、重复数据、组织归属异常等问题需具备识别、定位和处理能力。</x:v>
      </x:c>
      <x:c r="F31" s="37" t="str">
        <x:v>R10内部定向控制</x:v>
      </x:c>
      <x:c r="G31" s="37" t="str">
        <x:v>确认导入同时验证暂存内容与原授权来源；旧批次不自动补写授权证明。</x:v>
      </x:c>
      <x:c r="H31" s="37" t="str">
        <x:v>tests/r2/test_r10_import_access.py</x:v>
      </x:c>
      <x:c r="I31" s="37" t="str">
        <x:v>内部控制不等于条款终验；真实MySQL/浏览器/学校条件按本条适用性继续验证。</x:v>
      </x:c>
      <x:c r="J31" s="37" t="str">
        <x:v>未最终验收</x:v>
      </x:c>
    </x:row>
    <x:row r="32" ht="84" customHeight="1">
      <x:c r="A32" s="36" t="str">
        <x:v>4.6</x:v>
      </x:c>
      <x:c r="B32" s="37" t="n">
        <x:v>4</x:v>
      </x:c>
      <x:c r="C32" s="37" t="str">
        <x:v>学校数据中台对接</x:v>
      </x:c>
      <x:c r="D32" s="37" t="str">
        <x:v>3</x:v>
      </x:c>
      <x:c r="E32" s="37" t="str">
        <x:v>接口需明确地址、请求方式、鉴权方式、参数结构、字段映射、返回结果、异常编码和重试策略；在正式开发前应选取脱敏真实数据完成连通性、字段映射和数据处理验证。</x:v>
      </x:c>
      <x:c r="F32" s="37" t="str">
        <x:v>待学校/现场</x:v>
      </x:c>
      <x:c r="G32" s="37" t="str">
        <x:v>沿用R9已有内部准备；本条仍需真实学校或现场条件，未擅自替代签认。</x:v>
      </x:c>
      <x:c r="H32" s="37" t="str">
        <x:v>R5原基线 + evidence/r6/test_summary.json（回归集合，不等于逐条功能验收）；evidence/r8/full-python.xml（整体回归）</x:v>
      </x:c>
      <x:c r="I32" s="37" t="str">
        <x:v>真实MySQL/镜像/代理、原生浏览器、学校代表样本和签认、外部接口按本条适用性继续完成。 学校/省级协议、字段字典、网络凭据与责任方联调；不能用测试替身替代。</x:v>
      </x:c>
      <x:c r="J32" s="37" t="str">
        <x:v>未最终验收</x:v>
      </x:c>
    </x:row>
    <x:row r="33" ht="84" customHeight="1">
      <x:c r="A33" s="36" t="str">
        <x:v>4.7</x:v>
      </x:c>
      <x:c r="B33" s="37" t="n">
        <x:v>4</x:v>
      </x:c>
      <x:c r="C33" s="37" t="str">
        <x:v>学校数据中台对接</x:v>
      </x:c>
      <x:c r="D33" s="37" t="str">
        <x:v>3</x:v>
      </x:c>
      <x:c r="E33" s="37" t="str">
        <x:v>项目实施完成后需形成数据中台接口清单、字段映射关系、数据字典、数据处理说明、数据质量责任说明和联调记录等成果。</x:v>
      </x:c>
      <x:c r="F33" s="37" t="str">
        <x:v>待学校/现场</x:v>
      </x:c>
      <x:c r="G33" s="37" t="str">
        <x:v>沿用R9已有内部准备；本条仍需真实学校或现场条件，未擅自替代签认。</x:v>
      </x:c>
      <x:c r="H33" s="37" t="str">
        <x:v>R5原基线 + evidence/r6/test_summary.json（回归集合，不等于逐条功能验收）；evidence/r8/full-python.xml（整体回归）</x:v>
      </x:c>
      <x:c r="I33" s="37" t="str">
        <x:v>真实MySQL/镜像/代理、原生浏览器、学校代表样本和签认、外部接口按本条适用性继续完成。 学校/省级协议、字段字典、网络凭据与责任方联调；不能用测试替身替代。</x:v>
      </x:c>
      <x:c r="J33" s="37" t="str">
        <x:v>未最终验收</x:v>
      </x:c>
    </x:row>
    <x:row r="34" ht="84" customHeight="1">
      <x:c r="A34" s="36" t="str">
        <x:v>4.8</x:v>
      </x:c>
      <x:c r="B34" s="37" t="n">
        <x:v>4</x:v>
      </x:c>
      <x:c r="C34" s="37" t="str">
        <x:v>学校数据中台对接</x:v>
      </x:c>
      <x:c r="D34" s="37" t="str">
        <x:v>3</x:v>
      </x:c>
      <x:c r="E34" s="37" t="str">
        <x:v>支持接口字段映射关系配置，可维护源字段、目标字段、转换规则、默认值等映射内容，并可查询当前生效的字段映射配置。</x:v>
      </x:c>
      <x:c r="F34" s="37" t="str">
        <x:v>沿用R9，未逐条重验</x:v>
      </x:c>
      <x:c r="G34" s="37" t="str">
        <x:v>沿用R9已交付能力；全套回归通过不等于本条每个细项重新验收。</x:v>
      </x:c>
      <x:c r="H34" s="37" t="str">
        <x:v>evidence/r9/full-python.xml（前轮）；evidence/r10/full-python.xml（整体回归）</x:v>
      </x:c>
      <x:c r="I34" s="37" t="str">
        <x:v>真实MySQL/镜像/代理、原生浏览器、学校代表样本和签认、外部接口按本条适用性继续完成。</x:v>
      </x:c>
      <x:c r="J34" s="37" t="str">
        <x:v>未最终验收</x:v>
      </x:c>
    </x:row>
    <x:row r="35" ht="84" customHeight="1">
      <x:c r="A35" s="36" t="str">
        <x:v>4.9</x:v>
      </x:c>
      <x:c r="B35" s="37" t="n">
        <x:v>4</x:v>
      </x:c>
      <x:c r="C35" s="37" t="str">
        <x:v>学校数据中台对接</x:v>
      </x:c>
      <x:c r="D35" s="37" t="str">
        <x:v>3</x:v>
      </x:c>
      <x:c r="E35" s="37" t="str">
        <x:v>支持按接口或数据类型查询最近一次同步时间、同步状态、成功数量、失败数量及失败原因，便于快速核查数据同步情况。</x:v>
      </x:c>
      <x:c r="F35" s="37" t="str">
        <x:v>沿用R9，未逐条重验</x:v>
      </x:c>
      <x:c r="G35" s="37" t="str">
        <x:v>沿用R9已交付能力；全套回归通过不等于本条每个细项重新验收。</x:v>
      </x:c>
      <x:c r="H35" s="37" t="str">
        <x:v>evidence/r9/full-python.xml（前轮）；evidence/r10/full-python.xml（整体回归）</x:v>
      </x:c>
      <x:c r="I35" s="37" t="str">
        <x:v>真实MySQL/镜像/代理、原生浏览器、学校代表样本和签认、外部接口按本条适用性继续完成。</x:v>
      </x:c>
      <x:c r="J35" s="37" t="str">
        <x:v>未最终验收</x:v>
      </x:c>
    </x:row>
    <x:row r="36" ht="84" customHeight="1">
      <x:c r="A36" s="36" t="str">
        <x:v>5.1</x:v>
      </x:c>
      <x:c r="B36" s="37" t="n">
        <x:v>5</x:v>
      </x:c>
      <x:c r="C36" s="37" t="str">
        <x:v>教师工作台与个人数据看板</x:v>
      </x:c>
      <x:c r="D36" s="37" t="str">
        <x:v>3</x:v>
      </x:c>
      <x:c r="E36" s="37" t="str">
        <x:v>建设面向普通教师的个人工作台和个人数据看板，教师登录后仅展示本人权限范围内的非学历教育相关数据和待办事项。</x:v>
      </x:c>
      <x:c r="F36" s="37" t="str">
        <x:v>沿用R9，未逐条重验</x:v>
      </x:c>
      <x:c r="G36" s="37" t="str">
        <x:v>沿用R9已交付能力；全套回归通过不等于本条每个细项重新验收。</x:v>
      </x:c>
      <x:c r="H36" s="37" t="str">
        <x:v>evidence/r9/full-python.xml（前轮）；evidence/r10/full-python.xml（整体回归）</x:v>
      </x:c>
      <x:c r="I36" s="37" t="str">
        <x:v>真实MySQL/镜像/代理、原生浏览器、学校代表样本和签认、外部接口按本条适用性继续完成。</x:v>
      </x:c>
      <x:c r="J36" s="37" t="str">
        <x:v>未最终验收</x:v>
      </x:c>
    </x:row>
    <x:row r="37" ht="84" customHeight="1">
      <x:c r="A37" s="36" t="str">
        <x:v>5.2</x:v>
      </x:c>
      <x:c r="B37" s="37" t="n">
        <x:v>5</x:v>
      </x:c>
      <x:c r="C37" s="37" t="str">
        <x:v>教师工作台与个人数据看板</x:v>
      </x:c>
      <x:c r="D37" s="37" t="str">
        <x:v>3</x:v>
      </x:c>
      <x:c r="E37" s="37" t="str">
        <x:v>个人工作台需集中展示个人培训收入、课程人次、培训参与记录、授课记录、资质状态、积分明细、最近考核结果等信息。</x:v>
      </x:c>
      <x:c r="F37" s="37" t="str">
        <x:v>沿用R9，未逐条重验</x:v>
      </x:c>
      <x:c r="G37" s="37" t="str">
        <x:v>沿用R9已交付能力；全套回归通过不等于本条每个细项重新验收。</x:v>
      </x:c>
      <x:c r="H37" s="37" t="str">
        <x:v>evidence/r9/full-python.xml（前轮）；evidence/r10/full-python.xml（整体回归）</x:v>
      </x:c>
      <x:c r="I37" s="37" t="str">
        <x:v>真实MySQL/镜像/代理、原生浏览器、学校代表样本和签认、外部接口按本条适用性继续完成。</x:v>
      </x:c>
      <x:c r="J37" s="37" t="str">
        <x:v>未最终验收</x:v>
      </x:c>
    </x:row>
    <x:row r="38" ht="84" customHeight="1">
      <x:c r="A38" s="36" t="str">
        <x:v>5.3</x:v>
      </x:c>
      <x:c r="B38" s="37" t="n">
        <x:v>5</x:v>
      </x:c>
      <x:c r="C38" s="37" t="str">
        <x:v>教师工作台与个人数据看板</x:v>
      </x:c>
      <x:c r="D38" s="37" t="str">
        <x:v>3</x:v>
      </x:c>
      <x:c r="E38" s="37" t="str">
        <x:v>支持按照时间、项目、课程等条件对个人数据进行查询和筛选，并能够从汇总指标查看对应业务明细。</x:v>
      </x:c>
      <x:c r="F38" s="37" t="str">
        <x:v>沿用R9，未逐条重验</x:v>
      </x:c>
      <x:c r="G38" s="37" t="str">
        <x:v>沿用R9已交付能力；全套回归通过不等于本条每个细项重新验收。</x:v>
      </x:c>
      <x:c r="H38" s="37" t="str">
        <x:v>evidence/r9/full-python.xml（前轮）；evidence/r10/full-python.xml（整体回归）</x:v>
      </x:c>
      <x:c r="I38" s="37" t="str">
        <x:v>真实MySQL/镜像/代理、原生浏览器、学校代表样本和签认、外部接口按本条适用性继续完成。</x:v>
      </x:c>
      <x:c r="J38" s="37" t="str">
        <x:v>未最终验收</x:v>
      </x:c>
    </x:row>
    <x:row r="39" ht="84" customHeight="1">
      <x:c r="A39" s="36" t="str">
        <x:v>5.4</x:v>
      </x:c>
      <x:c r="B39" s="37" t="n">
        <x:v>5</x:v>
      </x:c>
      <x:c r="C39" s="37" t="str">
        <x:v>教师工作台与个人数据看板</x:v>
      </x:c>
      <x:c r="D39" s="37" t="str">
        <x:v>3</x:v>
      </x:c>
      <x:c r="E39" s="37" t="str">
        <x:v>对资质材料补充、考核确认、异常数据核对等需要教师处理的事项，应在工作台或待办区域进行提示并支持跳转处理。</x:v>
      </x:c>
      <x:c r="F39" s="37" t="str">
        <x:v>沿用R9，未逐条重验</x:v>
      </x:c>
      <x:c r="G39" s="37" t="str">
        <x:v>沿用R9已交付能力；全套回归通过不等于本条每个细项重新验收。</x:v>
      </x:c>
      <x:c r="H39" s="37" t="str">
        <x:v>evidence/r9/full-python.xml（前轮）；evidence/r10/full-python.xml（整体回归）</x:v>
      </x:c>
      <x:c r="I39" s="37" t="str">
        <x:v>真实MySQL/镜像/代理、原生浏览器、学校代表样本和签认、外部接口按本条适用性继续完成。</x:v>
      </x:c>
      <x:c r="J39" s="37" t="str">
        <x:v>未最终验收</x:v>
      </x:c>
    </x:row>
    <x:row r="40" ht="84" customHeight="1">
      <x:c r="A40" s="36" t="str">
        <x:v>5.5</x:v>
      </x:c>
      <x:c r="B40" s="37" t="n">
        <x:v>5</x:v>
      </x:c>
      <x:c r="C40" s="37" t="str">
        <x:v>教师工作台与个人数据看板</x:v>
      </x:c>
      <x:c r="D40" s="37" t="str">
        <x:v>3</x:v>
      </x:c>
      <x:c r="E40" s="37" t="str">
        <x:v>教师个人数据展示需遵循统一数据口径和权限控制要求，涉及敏感信息和附件材料时应按授权范围展示。</x:v>
      </x:c>
      <x:c r="F40" s="37" t="str">
        <x:v>R10内部定向控制</x:v>
      </x:c>
      <x:c r="G40" s="37" t="str">
        <x:v>本人上传的含人员信息的预览和错误文件也受当前范围与读取权限约束。</x:v>
      </x:c>
      <x:c r="H40" s="37" t="str">
        <x:v>tests/r2/test_r10_import_access.py</x:v>
      </x:c>
      <x:c r="I40" s="37" t="str">
        <x:v>内部控制不等于条款终验；真实MySQL/浏览器/学校条件按本条适用性继续验证。</x:v>
      </x:c>
      <x:c r="J40" s="37" t="str">
        <x:v>未最终验收</x:v>
      </x:c>
    </x:row>
    <x:row r="41" ht="84" customHeight="1">
      <x:c r="A41" s="36" t="str">
        <x:v>5.6</x:v>
      </x:c>
      <x:c r="B41" s="37" t="n">
        <x:v>5</x:v>
      </x:c>
      <x:c r="C41" s="37" t="str">
        <x:v>教师工作台与个人数据看板</x:v>
      </x:c>
      <x:c r="D41" s="37" t="str">
        <x:v>3</x:v>
      </x:c>
      <x:c r="E41" s="37" t="str">
        <x:v>项目交付时需完成教师个人数据看板、业务明细、待办跳转及相关查询筛选功能。</x:v>
      </x:c>
      <x:c r="F41" s="37" t="str">
        <x:v>沿用R9，未逐条重验</x:v>
      </x:c>
      <x:c r="G41" s="37" t="str">
        <x:v>沿用R9已交付能力；全套回归通过不等于本条每个细项重新验收。</x:v>
      </x:c>
      <x:c r="H41" s="37" t="str">
        <x:v>evidence/r9/full-python.xml（前轮）；evidence/r10/full-python.xml（整体回归）</x:v>
      </x:c>
      <x:c r="I41" s="37" t="str">
        <x:v>真实MySQL/镜像/代理、原生浏览器、学校代表样本和签认、外部接口按本条适用性继续完成。</x:v>
      </x:c>
      <x:c r="J41" s="37" t="str">
        <x:v>未最终验收</x:v>
      </x:c>
    </x:row>
    <x:row r="42" ht="84" customHeight="1">
      <x:c r="A42" s="36" t="str">
        <x:v>6.1</x:v>
      </x:c>
      <x:c r="B42" s="37" t="n">
        <x:v>6</x:v>
      </x:c>
      <x:c r="C42" s="37" t="str">
        <x:v>教研室与二级学院管理</x:v>
      </x:c>
      <x:c r="D42" s="37" t="str">
        <x:v>3</x:v>
      </x:c>
      <x:c r="E42" s="37" t="str">
        <x:v>建设面向教研室和二级学院的分级管理功能，按照组织层级自动限定数据查看和业务处理范围。</x:v>
      </x:c>
      <x:c r="F42" s="37" t="str">
        <x:v>沿用R9，未逐条重验</x:v>
      </x:c>
      <x:c r="G42" s="37" t="str">
        <x:v>沿用R9已交付能力；全套回归通过不等于本条每个细项重新验收。</x:v>
      </x:c>
      <x:c r="H42" s="37" t="str">
        <x:v>evidence/r9/full-python.xml（前轮）；evidence/r10/full-python.xml（整体回归）</x:v>
      </x:c>
      <x:c r="I42" s="37" t="str">
        <x:v>真实MySQL/镜像/代理、原生浏览器、学校代表样本和签认、外部接口按本条适用性继续完成。</x:v>
      </x:c>
      <x:c r="J42" s="37" t="str">
        <x:v>未最终验收</x:v>
      </x:c>
    </x:row>
    <x:row r="43" ht="84" customHeight="1">
      <x:c r="A43" s="36" t="str">
        <x:v>6.2</x:v>
      </x:c>
      <x:c r="B43" s="37" t="n">
        <x:v>6</x:v>
      </x:c>
      <x:c r="C43" s="37" t="str">
        <x:v>教研室与二级学院管理</x:v>
      </x:c>
      <x:c r="D43" s="37" t="str">
        <x:v>4</x:v>
      </x:c>
      <x:c r="E43" s="37" t="str">
        <x:v>教研室需能够查看本教研室教师培训数据、课程人次和考核数据，并对教师相关数据、资质材料和考核事项开展审核、汇总和导出。</x:v>
      </x:c>
      <x:c r="F43" s="37" t="str">
        <x:v>R10内部定向控制</x:v>
      </x:c>
      <x:c r="G43" s="37" t="str">
        <x:v>组织结果详情、Excel与排名核验归档；教研室仍只能查看本组织结果。</x:v>
      </x:c>
      <x:c r="H43" s="37" t="str">
        <x:v>tests/r2/test_r10_org_evidence.py</x:v>
      </x:c>
      <x:c r="I43" s="37" t="str">
        <x:v>内部控制不等于条款终验；真实MySQL/浏览器/学校条件按本条适用性继续验证。</x:v>
      </x:c>
      <x:c r="J43" s="37" t="str">
        <x:v>未最终验收</x:v>
      </x:c>
    </x:row>
    <x:row r="44" ht="84" customHeight="1">
      <x:c r="A44" s="36" t="str">
        <x:v>6.3</x:v>
      </x:c>
      <x:c r="B44" s="37" t="n">
        <x:v>6</x:v>
      </x:c>
      <x:c r="C44" s="37" t="str">
        <x:v>教研室与二级学院管理</x:v>
      </x:c>
      <x:c r="D44" s="37" t="str">
        <x:v>4</x:v>
      </x:c>
      <x:c r="E44" s="37" t="str">
        <x:v>二级学院需能够按学院维度汇聚培训收入、教师参与、课程人次和考核结果，支持所属教研室及教师数据的分层查看。</x:v>
      </x:c>
      <x:c r="F44" s="37" t="str">
        <x:v>沿用R9，未逐条重验</x:v>
      </x:c>
      <x:c r="G44" s="37" t="str">
        <x:v>沿用R9已交付能力；全套回归通过不等于本条每个细项重新验收。</x:v>
      </x:c>
      <x:c r="H44" s="37" t="str">
        <x:v>evidence/r9/full-python.xml（前轮）；evidence/r10/full-python.xml（整体回归）</x:v>
      </x:c>
      <x:c r="I44" s="37" t="str">
        <x:v>真实MySQL/镜像/代理、原生浏览器、学校代表样本和签认、外部接口按本条适用性继续完成。</x:v>
      </x:c>
      <x:c r="J44" s="37" t="str">
        <x:v>未最终验收</x:v>
      </x:c>
    </x:row>
    <x:row r="45" ht="84" customHeight="1">
      <x:c r="A45" s="36" t="str">
        <x:v>6.4</x:v>
      </x:c>
      <x:c r="B45" s="37" t="n">
        <x:v>6</x:v>
      </x:c>
      <x:c r="C45" s="37" t="str">
        <x:v>教研室与二级学院管理</x:v>
      </x:c>
      <x:c r="D45" s="37" t="str">
        <x:v>4</x:v>
      </x:c>
      <x:c r="E45" s="37" t="str">
        <x:v>支持按教研室、教师、时间、项目、课程等维度进行统计筛选，并可从汇总结果穿透查看教师和业务明细。</x:v>
      </x:c>
      <x:c r="F45" s="37" t="str">
        <x:v>沿用R9，未逐条重验</x:v>
      </x:c>
      <x:c r="G45" s="37" t="str">
        <x:v>沿用R9已交付能力；全套回归通过不等于本条每个细项重新验收。</x:v>
      </x:c>
      <x:c r="H45" s="37" t="str">
        <x:v>evidence/r9/full-python.xml（前轮）；evidence/r10/full-python.xml（整体回归）</x:v>
      </x:c>
      <x:c r="I45" s="37" t="str">
        <x:v>真实MySQL/镜像/代理、原生浏览器、学校代表样本和签认、外部接口按本条适用性继续完成。</x:v>
      </x:c>
      <x:c r="J45" s="37" t="str">
        <x:v>未最终验收</x:v>
      </x:c>
    </x:row>
    <x:row r="46" ht="84" customHeight="1">
      <x:c r="A46" s="36" t="str">
        <x:v>6.5</x:v>
      </x:c>
      <x:c r="B46" s="37" t="n">
        <x:v>6</x:v>
      </x:c>
      <x:c r="C46" s="37" t="str">
        <x:v>教研室与二级学院管理</x:v>
      </x:c>
      <x:c r="D46" s="37" t="str">
        <x:v>4</x:v>
      </x:c>
      <x:c r="E46" s="37" t="str">
        <x:v>支持管理过程中的结果确认、审核意见记录、退回处理和报表导出，相关操作应受到组织权限和数据权限控制并保留操作留痕。</x:v>
      </x:c>
      <x:c r="F46" s="37" t="str">
        <x:v>R10内部定向控制</x:v>
      </x:c>
      <x:c r="G46" s="37" t="str">
        <x:v>组织归档前核对每个指标、证据对象、范围及总分；异常回滚，不落虚假归档。</x:v>
      </x:c>
      <x:c r="H46" s="37" t="str">
        <x:v>tests/r2/test_r10_org_evidence.py</x:v>
      </x:c>
      <x:c r="I46" s="37" t="str">
        <x:v>内部控制不等于条款终验；真实MySQL/浏览器/学校条件按本条适用性继续验证。</x:v>
      </x:c>
      <x:c r="J46" s="37" t="str">
        <x:v>未最终验收</x:v>
      </x:c>
    </x:row>
    <x:row r="47" ht="84" customHeight="1">
      <x:c r="A47" s="36" t="str">
        <x:v>6.6</x:v>
      </x:c>
      <x:c r="B47" s="37" t="n">
        <x:v>6</x:v>
      </x:c>
      <x:c r="C47" s="37" t="str">
        <x:v>教研室与二级学院管理</x:v>
      </x:c>
      <x:c r="D47" s="37" t="str">
        <x:v>4</x:v>
      </x:c>
      <x:c r="E47" s="37" t="str">
        <x:v>页面需能够反映教研室或学院范围内的关键运行指标、待处理事项和考核进度，为分级管理和审核提供数据支撑。</x:v>
      </x:c>
      <x:c r="F47" s="37" t="str">
        <x:v>沿用R9，未逐条重验</x:v>
      </x:c>
      <x:c r="G47" s="37" t="str">
        <x:v>沿用R9已交付能力；全套回归通过不等于本条每个细项重新验收。</x:v>
      </x:c>
      <x:c r="H47" s="37" t="str">
        <x:v>evidence/r9/full-python.xml（前轮）；evidence/r10/full-python.xml（整体回归）</x:v>
      </x:c>
      <x:c r="I47" s="37" t="str">
        <x:v>真实MySQL/镜像/代理、原生浏览器、学校代表样本和签认、外部接口按本条适用性继续完成。</x:v>
      </x:c>
      <x:c r="J47" s="37" t="str">
        <x:v>未最终验收</x:v>
      </x:c>
    </x:row>
    <x:row r="48" ht="84" customHeight="1">
      <x:c r="A48" s="36" t="str">
        <x:v>7.1</x:v>
      </x:c>
      <x:c r="B48" s="37" t="n">
        <x:v>7</x:v>
      </x:c>
      <x:c r="C48" s="37" t="str">
        <x:v>学校管理驾驶舱</x:v>
      </x:c>
      <x:c r="D48" s="37" t="str">
        <x:v>4</x:v>
      </x:c>
      <x:c r="E48" s="37" t="str">
        <x:v>建设面向学校管理部门的学校管理驾驶舱，集中展示全校非学历教育运行态势和关键管理指标。</x:v>
      </x:c>
      <x:c r="F48" s="37" t="str">
        <x:v>沿用R9，未逐条重验</x:v>
      </x:c>
      <x:c r="G48" s="37" t="str">
        <x:v>沿用R9已交付能力；全套回归通过不等于本条每个细项重新验收。</x:v>
      </x:c>
      <x:c r="H48" s="37" t="str">
        <x:v>evidence/r9/full-python.xml（前轮）；evidence/r10/full-python.xml（整体回归）</x:v>
      </x:c>
      <x:c r="I48" s="37" t="str">
        <x:v>真实MySQL/镜像/代理、原生浏览器、学校代表样本和签认、外部接口按本条适用性继续完成。</x:v>
      </x:c>
      <x:c r="J48" s="37" t="str">
        <x:v>未最终验收</x:v>
      </x:c>
    </x:row>
    <x:row r="49" ht="84" customHeight="1">
      <x:c r="A49" s="36" t="str">
        <x:v>7.2</x:v>
      </x:c>
      <x:c r="B49" s="37" t="n">
        <x:v>7</x:v>
      </x:c>
      <x:c r="C49" s="37" t="str">
        <x:v>学校管理驾驶舱</x:v>
      </x:c>
      <x:c r="D49" s="37" t="str">
        <x:v>4</x:v>
      </x:c>
      <x:c r="E49" s="37" t="str">
        <x:v>驾驶舱需展示全校培训收入、人次规模、参与教师数、项目课程班级规模、考核结果及省级平台同步状态等综合信息。</x:v>
      </x:c>
      <x:c r="F49" s="37" t="str">
        <x:v>沿用R9，未逐条重验</x:v>
      </x:c>
      <x:c r="G49" s="37" t="str">
        <x:v>沿用R9已交付能力；全套回归通过不等于本条每个细项重新验收。</x:v>
      </x:c>
      <x:c r="H49" s="37" t="str">
        <x:v>evidence/r9/full-python.xml（前轮）；evidence/r10/full-python.xml（整体回归）</x:v>
      </x:c>
      <x:c r="I49" s="37" t="str">
        <x:v>真实MySQL/镜像/代理、原生浏览器、学校代表样本和签认、外部接口按本条适用性继续完成。</x:v>
      </x:c>
      <x:c r="J49" s="37" t="str">
        <x:v>未最终验收</x:v>
      </x:c>
    </x:row>
    <x:row r="50" ht="84" customHeight="1">
      <x:c r="A50" s="36" t="str">
        <x:v>7.3</x:v>
      </x:c>
      <x:c r="B50" s="37" t="n">
        <x:v>7</x:v>
      </x:c>
      <x:c r="C50" s="37" t="str">
        <x:v>学校管理驾驶舱</x:v>
      </x:c>
      <x:c r="D50" s="37" t="str">
        <x:v>4</x:v>
      </x:c>
      <x:c r="E50" s="37" t="str">
        <x:v>支持按二级学院、教研室、时间、项目、课程等维度进行筛选、汇总和对比分析，并能够查看相关业务明细。</x:v>
      </x:c>
      <x:c r="F50" s="37" t="str">
        <x:v>沿用R9，未逐条重验</x:v>
      </x:c>
      <x:c r="G50" s="37" t="str">
        <x:v>沿用R9已交付能力；全套回归通过不等于本条每个细项重新验收。</x:v>
      </x:c>
      <x:c r="H50" s="37" t="str">
        <x:v>evidence/r9/full-python.xml（前轮）；evidence/r10/full-python.xml（整体回归）</x:v>
      </x:c>
      <x:c r="I50" s="37" t="str">
        <x:v>真实MySQL/镜像/代理、原生浏览器、学校代表样本和签认、外部接口按本条适用性继续完成。</x:v>
      </x:c>
      <x:c r="J50" s="37" t="str">
        <x:v>未最终验收</x:v>
      </x:c>
    </x:row>
    <x:row r="51" ht="84" customHeight="1">
      <x:c r="A51" s="36" t="str">
        <x:v>7.4</x:v>
      </x:c>
      <x:c r="B51" s="37" t="n">
        <x:v>7</x:v>
      </x:c>
      <x:c r="C51" s="37" t="str">
        <x:v>学校管理驾驶舱</x:v>
      </x:c>
      <x:c r="D51" s="37" t="str">
        <x:v>4</x:v>
      </x:c>
      <x:c r="E51" s="37" t="str">
        <x:v>提供学院排行、趋势分析、教师参与情况、考核分布、同步状态等可视化展示，用于辅助学校掌握非学历教育总体运行情况。</x:v>
      </x:c>
      <x:c r="F51" s="37" t="str">
        <x:v>沿用R9，未逐条重验</x:v>
      </x:c>
      <x:c r="G51" s="37" t="str">
        <x:v>沿用R9已交付能力；全套回归通过不等于本条每个细项重新验收。</x:v>
      </x:c>
      <x:c r="H51" s="37" t="str">
        <x:v>evidence/r9/full-python.xml（前轮）；evidence/r10/full-python.xml（整体回归）</x:v>
      </x:c>
      <x:c r="I51" s="37" t="str">
        <x:v>真实MySQL/镜像/代理、原生浏览器、学校代表样本和签认、外部接口按本条适用性继续完成。</x:v>
      </x:c>
      <x:c r="J51" s="37" t="str">
        <x:v>未最终验收</x:v>
      </x:c>
    </x:row>
    <x:row r="52" ht="84" customHeight="1">
      <x:c r="A52" s="36" t="str">
        <x:v>7.5</x:v>
      </x:c>
      <x:c r="B52" s="37" t="n">
        <x:v>7</x:v>
      </x:c>
      <x:c r="C52" s="37" t="str">
        <x:v>学校管理驾驶舱</x:v>
      </x:c>
      <x:c r="D52" s="37" t="str">
        <x:v>4</x:v>
      </x:c>
      <x:c r="E52" s="37" t="str">
        <x:v>驾驶舱统计数据需与教师工作台、学院管理、考核管理和接口同步等业务模块保持同源同口径，避免同一指标出现多套统计结果。</x:v>
      </x:c>
      <x:c r="F52" s="37" t="str">
        <x:v>沿用R9，未逐条重验</x:v>
      </x:c>
      <x:c r="G52" s="37" t="str">
        <x:v>沿用R9已交付能力；全套回归通过不等于本条每个细项重新验收。</x:v>
      </x:c>
      <x:c r="H52" s="37" t="str">
        <x:v>evidence/r9/full-python.xml（前轮）；evidence/r10/full-python.xml（整体回归）</x:v>
      </x:c>
      <x:c r="I52" s="37" t="str">
        <x:v>真实MySQL/镜像/代理、原生浏览器、学校代表样本和签认、外部接口按本条适用性继续完成。</x:v>
      </x:c>
      <x:c r="J52" s="37" t="str">
        <x:v>未最终验收</x:v>
      </x:c>
    </x:row>
    <x:row r="53" ht="84" customHeight="1">
      <x:c r="A53" s="36" t="str">
        <x:v>7.6</x:v>
      </x:c>
      <x:c r="B53" s="37" t="n">
        <x:v>7</x:v>
      </x:c>
      <x:c r="C53" s="37" t="str">
        <x:v>学校管理驾驶舱</x:v>
      </x:c>
      <x:c r="D53" s="37" t="str">
        <x:v>4</x:v>
      </x:c>
      <x:c r="E53" s="37" t="str">
        <x:v>项目交付时需完成驾驶舱指标展示、筛选分析、统计图表和必要的明细穿透功能。</x:v>
      </x:c>
      <x:c r="F53" s="37" t="str">
        <x:v>沿用R9，未逐条重验</x:v>
      </x:c>
      <x:c r="G53" s="37" t="str">
        <x:v>沿用R9已交付能力；全套回归通过不等于本条每个细项重新验收。</x:v>
      </x:c>
      <x:c r="H53" s="37" t="str">
        <x:v>evidence/r9/full-python.xml（前轮）；evidence/r10/full-python.xml（整体回归）</x:v>
      </x:c>
      <x:c r="I53" s="37" t="str">
        <x:v>真实MySQL/镜像/代理、原生浏览器、学校代表样本和签认、外部接口按本条适用性继续完成。</x:v>
      </x:c>
      <x:c r="J53" s="37" t="str">
        <x:v>未最终验收</x:v>
      </x:c>
    </x:row>
    <x:row r="54" ht="84" customHeight="1">
      <x:c r="A54" s="36" t="str">
        <x:v>8.1</x:v>
      </x:c>
      <x:c r="B54" s="37" t="n">
        <x:v>8</x:v>
      </x:c>
      <x:c r="C54" s="37" t="str">
        <x:v>教师资质管理</x:v>
      </x:c>
      <x:c r="D54" s="37" t="str">
        <x:v>4</x:v>
      </x:c>
      <x:c r="E54" s="37" t="str">
        <x:v>建设教师资质管理功能，用于维护教师参加非学历教育相关的资质信息、证书材料、有效期、审核状态和变更记录。</x:v>
      </x:c>
      <x:c r="F54" s="37" t="str">
        <x:v>沿用R9，未逐条重验</x:v>
      </x:c>
      <x:c r="G54" s="37" t="str">
        <x:v>沿用R9已交付能力；全套回归通过不等于本条每个细项重新验收。</x:v>
      </x:c>
      <x:c r="H54" s="37" t="str">
        <x:v>evidence/r9/full-python.xml（前轮）；evidence/r10/full-python.xml（整体回归）</x:v>
      </x:c>
      <x:c r="I54" s="37" t="str">
        <x:v>真实MySQL/镜像/代理、原生浏览器、学校代表样本和签认、外部接口按本条适用性继续完成。</x:v>
      </x:c>
      <x:c r="J54" s="37" t="str">
        <x:v>未最终验收</x:v>
      </x:c>
    </x:row>
    <x:row r="55" ht="84" customHeight="1">
      <x:c r="A55" s="36" t="str">
        <x:v>8.2</x:v>
      </x:c>
      <x:c r="B55" s="37" t="n">
        <x:v>8</x:v>
      </x:c>
      <x:c r="C55" s="37" t="str">
        <x:v>教师资质管理</x:v>
      </x:c>
      <x:c r="D55" s="37" t="str">
        <x:v>4</x:v>
      </x:c>
      <x:c r="E55" s="37" t="str">
        <x:v>资质档案需支持资质类别、证书名称、证书编号、发证机构、取得时间、有效期等信息维护，并支持相关附件材料上传、查看和归档。</x:v>
      </x:c>
      <x:c r="F55" s="37" t="str">
        <x:v>沿用R9，未逐条重验</x:v>
      </x:c>
      <x:c r="G55" s="37" t="str">
        <x:v>沿用R9已交付能力；全套回归通过不等于本条每个细项重新验收。</x:v>
      </x:c>
      <x:c r="H55" s="37" t="str">
        <x:v>evidence/r9/full-python.xml（前轮）；evidence/r10/full-python.xml（整体回归）</x:v>
      </x:c>
      <x:c r="I55" s="37" t="str">
        <x:v>真实MySQL/镜像/代理、原生浏览器、学校代表样本和签认、外部接口按本条适用性继续完成。</x:v>
      </x:c>
      <x:c r="J55" s="37" t="str">
        <x:v>未最终验收</x:v>
      </x:c>
    </x:row>
    <x:row r="56" ht="84" customHeight="1">
      <x:c r="A56" s="36" t="str">
        <x:v>8.3</x:v>
      </x:c>
      <x:c r="B56" s="37" t="n">
        <x:v>8</x:v>
      </x:c>
      <x:c r="C56" s="37" t="str">
        <x:v>教师资质管理</x:v>
      </x:c>
      <x:c r="D56" s="37" t="str">
        <x:v>5</x:v>
      </x:c>
      <x:c r="E56" s="37" t="str">
        <x:v>建立资质审核流转机制，支持提交、审核、退回、重新提交等处理，并记录审核人员、处理时间、审核意见和状态变化。</x:v>
      </x:c>
      <x:c r="F56" s="37" t="str">
        <x:v>沿用R9，未逐条重验</x:v>
      </x:c>
      <x:c r="G56" s="37" t="str">
        <x:v>沿用R9已交付能力；全套回归通过不等于本条每个细项重新验收。</x:v>
      </x:c>
      <x:c r="H56" s="37" t="str">
        <x:v>evidence/r9/full-python.xml（前轮）；evidence/r10/full-python.xml（整体回归）</x:v>
      </x:c>
      <x:c r="I56" s="37" t="str">
        <x:v>真实MySQL/镜像/代理、原生浏览器、学校代表样本和签认、外部接口按本条适用性继续完成。</x:v>
      </x:c>
      <x:c r="J56" s="37" t="str">
        <x:v>未最终验收</x:v>
      </x:c>
    </x:row>
    <x:row r="57" ht="84" customHeight="1">
      <x:c r="A57" s="36" t="str">
        <x:v>8.4</x:v>
      </x:c>
      <x:c r="B57" s="37" t="n">
        <x:v>8</x:v>
      </x:c>
      <x:c r="C57" s="37" t="str">
        <x:v>教师资质管理</x:v>
      </x:c>
      <x:c r="D57" s="37" t="str">
        <x:v>5</x:v>
      </x:c>
      <x:c r="E57" s="37" t="str">
        <x:v>对具有有效期的教师资质需提供到期提醒；资质信息变更时需保留变更前后值、附件版本、操作人、操作时间及变更依据。</x:v>
      </x:c>
      <x:c r="F57" s="37" t="str">
        <x:v>沿用R9，未逐条重验</x:v>
      </x:c>
      <x:c r="G57" s="37" t="str">
        <x:v>沿用R9已交付能力；全套回归通过不等于本条每个细项重新验收。</x:v>
      </x:c>
      <x:c r="H57" s="37" t="str">
        <x:v>evidence/r9/full-python.xml（前轮）；evidence/r10/full-python.xml（整体回归）</x:v>
      </x:c>
      <x:c r="I57" s="37" t="str">
        <x:v>真实MySQL/镜像/代理、原生浏览器、学校代表样本和签认、外部接口按本条适用性继续完成。</x:v>
      </x:c>
      <x:c r="J57" s="37" t="str">
        <x:v>未最终验收</x:v>
      </x:c>
    </x:row>
    <x:row r="58" ht="84" customHeight="1">
      <x:c r="A58" s="36" t="str">
        <x:v>8.5</x:v>
      </x:c>
      <x:c r="B58" s="37" t="n">
        <x:v>8</x:v>
      </x:c>
      <x:c r="C58" s="37" t="str">
        <x:v>教师资质管理</x:v>
      </x:c>
      <x:c r="D58" s="37" t="str">
        <x:v>5</x:v>
      </x:c>
      <x:c r="E58" s="37" t="str">
        <x:v>已经用于已归档考核周期的资质信息和佐证材料不得因后续更新被静默覆盖，应通过历史版本或快照方式保留当期依据。</x:v>
      </x:c>
      <x:c r="F58" s="37" t="str">
        <x:v>沿用R9，未逐条重验</x:v>
      </x:c>
      <x:c r="G58" s="37" t="str">
        <x:v>沿用R9已交付能力；全套回归通过不等于本条每个细项重新验收。</x:v>
      </x:c>
      <x:c r="H58" s="37" t="str">
        <x:v>evidence/r9/full-python.xml（前轮）；evidence/r10/full-python.xml（整体回归）</x:v>
      </x:c>
      <x:c r="I58" s="37" t="str">
        <x:v>真实MySQL/镜像/代理、原生浏览器、学校代表样本和签认、外部接口按本条适用性继续完成。</x:v>
      </x:c>
      <x:c r="J58" s="37" t="str">
        <x:v>未最终验收</x:v>
      </x:c>
    </x:row>
    <x:row r="59" ht="84" customHeight="1">
      <x:c r="A59" s="36" t="str">
        <x:v>8.6</x:v>
      </x:c>
      <x:c r="B59" s="37" t="n">
        <x:v>8</x:v>
      </x:c>
      <x:c r="C59" s="37" t="str">
        <x:v>教师资质管理</x:v>
      </x:c>
      <x:c r="D59" s="37" t="str">
        <x:v>5</x:v>
      </x:c>
      <x:c r="E59" s="37" t="str">
        <x:v>涉及教师证书、证明材料等文件时，应与教师身份、组织权限和业务权限绑定，防止无权限查看和下载。</x:v>
      </x:c>
      <x:c r="F59" s="37" t="str">
        <x:v>沿用R9，未逐条重验</x:v>
      </x:c>
      <x:c r="G59" s="37" t="str">
        <x:v>沿用R9已交付能力；全套回归通过不等于本条每个细项重新验收。</x:v>
      </x:c>
      <x:c r="H59" s="37" t="str">
        <x:v>evidence/r9/full-python.xml（前轮）；evidence/r10/full-python.xml（整体回归）</x:v>
      </x:c>
      <x:c r="I59" s="37" t="str">
        <x:v>真实MySQL/镜像/代理、原生浏览器、学校代表样本和签认、外部接口按本条适用性继续完成。</x:v>
      </x:c>
      <x:c r="J59" s="37" t="str">
        <x:v>未最终验收</x:v>
      </x:c>
    </x:row>
    <x:row r="60" ht="84" customHeight="1">
      <x:c r="A60" s="36" t="str">
        <x:v>9.1</x:v>
      </x:c>
      <x:c r="B60" s="37" t="n">
        <x:v>9</x:v>
      </x:c>
      <x:c r="C60" s="37" t="str">
        <x:v>教师积分激励</x:v>
      </x:c>
      <x:c r="D60" s="37" t="str">
        <x:v>5</x:v>
      </x:c>
      <x:c r="E60" s="37" t="str">
        <x:v>建设教师积分激励功能，支持根据学校管理要求配置积分规则、适用周期和积分来源，并形成教师积分台账。</x:v>
      </x:c>
      <x:c r="F60" s="37" t="str">
        <x:v>沿用R9，未逐条重验</x:v>
      </x:c>
      <x:c r="G60" s="37" t="str">
        <x:v>沿用R9已交付能力；全套回归通过不等于本条每个细项重新验收。</x:v>
      </x:c>
      <x:c r="H60" s="37" t="str">
        <x:v>evidence/r9/full-python.xml（前轮）；evidence/r10/full-python.xml（整体回归）</x:v>
      </x:c>
      <x:c r="I60" s="37" t="str">
        <x:v>真实MySQL/镜像/代理、原生浏览器、学校代表样本和签认、外部接口按本条适用性继续完成。</x:v>
      </x:c>
      <x:c r="J60" s="37" t="str">
        <x:v>未最终验收</x:v>
      </x:c>
    </x:row>
    <x:row r="61" ht="84" customHeight="1">
      <x:c r="A61" s="36" t="str">
        <x:v>9.2</x:v>
      </x:c>
      <x:c r="B61" s="37" t="n">
        <x:v>9</x:v>
      </x:c>
      <x:c r="C61" s="37" t="str">
        <x:v>教师积分激励</x:v>
      </x:c>
      <x:c r="D61" s="37" t="str">
        <x:v>5</x:v>
      </x:c>
      <x:c r="E61" s="37" t="str">
        <x:v>积分来源可关联教师授课、课程人次、考核结果等业务数据，并支持根据已汇聚的数据自动匹配规则、计算积分和生成积分明细。</x:v>
      </x:c>
      <x:c r="F61" s="37" t="str">
        <x:v>沿用R9，未逐条重验</x:v>
      </x:c>
      <x:c r="G61" s="37" t="str">
        <x:v>沿用R9已交付能力；全套回归通过不等于本条每个细项重新验收。</x:v>
      </x:c>
      <x:c r="H61" s="37" t="str">
        <x:v>evidence/r9/full-python.xml（前轮）；evidence/r10/full-python.xml（整体回归）</x:v>
      </x:c>
      <x:c r="I61" s="37" t="str">
        <x:v>真实MySQL/镜像/代理、原生浏览器、学校代表样本和签认、外部接口按本条适用性继续完成。</x:v>
      </x:c>
      <x:c r="J61" s="37" t="str">
        <x:v>未最终验收</x:v>
      </x:c>
    </x:row>
    <x:row r="62" ht="84" customHeight="1">
      <x:c r="A62" s="36" t="str">
        <x:v>9.3</x:v>
      </x:c>
      <x:c r="B62" s="37" t="n">
        <x:v>9</x:v>
      </x:c>
      <x:c r="C62" s="37" t="str">
        <x:v>教师积分激励</x:v>
      </x:c>
      <x:c r="D62" s="37" t="str">
        <x:v>5</x:v>
      </x:c>
      <x:c r="E62" s="37" t="str">
        <x:v>每次积分计算应记录计算批次、教师、原始数据、数据来源、规则版本、计算规则/公式、计算结果和计算时间，确保积分结果可解释、可核验、可追溯。</x:v>
      </x:c>
      <x:c r="F62" s="37" t="str">
        <x:v>沿用R9，未逐条重验</x:v>
      </x:c>
      <x:c r="G62" s="37" t="str">
        <x:v>沿用R9已交付能力；全套回归通过不等于本条每个细项重新验收。</x:v>
      </x:c>
      <x:c r="H62" s="37" t="str">
        <x:v>evidence/r9/full-python.xml（前轮）；evidence/r10/full-python.xml（整体回归）</x:v>
      </x:c>
      <x:c r="I62" s="37" t="str">
        <x:v>真实MySQL/镜像/代理、原生浏览器、学校代表样本和签认、外部接口按本条适用性继续完成。</x:v>
      </x:c>
      <x:c r="J62" s="37" t="str">
        <x:v>未最终验收</x:v>
      </x:c>
    </x:row>
    <x:row r="63" ht="84" customHeight="1">
      <x:c r="A63" s="36" t="str">
        <x:v>9.4</x:v>
      </x:c>
      <x:c r="B63" s="37" t="n">
        <x:v>9</x:v>
      </x:c>
      <x:c r="C63" s="37" t="str">
        <x:v>教师积分激励</x:v>
      </x:c>
      <x:c r="D63" s="37" t="str">
        <x:v>5</x:v>
      </x:c>
      <x:c r="E63" s="37" t="str">
        <x:v>积分规则应支持版本化管理，新规则启用后应保留历史规则版本及对应历史结果，已确认历史结果不得因新规则上线被自动改写。</x:v>
      </x:c>
      <x:c r="F63" s="37" t="str">
        <x:v>沿用R9，未逐条重验</x:v>
      </x:c>
      <x:c r="G63" s="37" t="str">
        <x:v>沿用R9已交付能力；全套回归通过不等于本条每个细项重新验收。</x:v>
      </x:c>
      <x:c r="H63" s="37" t="str">
        <x:v>evidence/r9/full-python.xml（前轮）；evidence/r10/full-python.xml（整体回归）</x:v>
      </x:c>
      <x:c r="I63" s="37" t="str">
        <x:v>真实MySQL/镜像/代理、原生浏览器、学校代表样本和签认、外部接口按本条适用性继续完成。</x:v>
      </x:c>
      <x:c r="J63" s="37" t="str">
        <x:v>未最终验收</x:v>
      </x:c>
    </x:row>
    <x:row r="64" ht="84" customHeight="1">
      <x:c r="A64" s="36" t="str">
        <x:v>9.5</x:v>
      </x:c>
      <x:c r="B64" s="37" t="n">
        <x:v>9</x:v>
      </x:c>
      <x:c r="C64" s="37" t="str">
        <x:v>教师积分激励</x:v>
      </x:c>
      <x:c r="D64" s="37" t="str">
        <x:v>5</x:v>
      </x:c>
      <x:c r="E64" s="37" t="str">
        <x:v>支持教师对积分明细提出核对申请；经授权人员可开展人工复核、重新取数、重新计算或纠错处理，所有人工调整需记录操作人、时间、调整前值、调整后值、原因和依据。</x:v>
      </x:c>
      <x:c r="F64" s="37" t="str">
        <x:v>沿用R9，未逐条重验</x:v>
      </x:c>
      <x:c r="G64" s="37" t="str">
        <x:v>沿用R9已交付能力；全套回归通过不等于本条每个细项重新验收。</x:v>
      </x:c>
      <x:c r="H64" s="37" t="str">
        <x:v>evidence/r9/full-python.xml（前轮）；evidence/r10/full-python.xml（整体回归）</x:v>
      </x:c>
      <x:c r="I64" s="37" t="str">
        <x:v>真实MySQL/镜像/代理、原生浏览器、学校代表样本和签认、外部接口按本条适用性继续完成。</x:v>
      </x:c>
      <x:c r="J64" s="37" t="str">
        <x:v>未最终验收</x:v>
      </x:c>
    </x:row>
    <x:row r="65" ht="84" customHeight="1">
      <x:c r="A65" s="36" t="str">
        <x:v>9.6</x:v>
      </x:c>
      <x:c r="B65" s="37" t="n">
        <x:v>9</x:v>
      </x:c>
      <x:c r="C65" s="37" t="str">
        <x:v>教师积分激励</x:v>
      </x:c>
      <x:c r="D65" s="37" t="str">
        <x:v>5</x:v>
      </x:c>
      <x:c r="E65" s="37" t="str">
        <x:v>积分结果形成后原则上不直接修改原始积分明细，确需纠错时应通过调整项或反向积分冲销等方式处理并保留完整记录。</x:v>
      </x:c>
      <x:c r="F65" s="37" t="str">
        <x:v>沿用R9，未逐条重验</x:v>
      </x:c>
      <x:c r="G65" s="37" t="str">
        <x:v>沿用R9已交付能力；全套回归通过不等于本条每个细项重新验收。</x:v>
      </x:c>
      <x:c r="H65" s="37" t="str">
        <x:v>evidence/r9/full-python.xml（前轮）；evidence/r10/full-python.xml（整体回归）</x:v>
      </x:c>
      <x:c r="I65" s="37" t="str">
        <x:v>真实MySQL/镜像/代理、原生浏览器、学校代表样本和签认、外部接口按本条适用性继续完成。</x:v>
      </x:c>
      <x:c r="J65" s="37" t="str">
        <x:v>未最终验收</x:v>
      </x:c>
    </x:row>
    <x:row r="66" ht="84" customHeight="1">
      <x:c r="A66" s="36" t="str">
        <x:v>9.7</x:v>
      </x:c>
      <x:c r="B66" s="37" t="n">
        <x:v>9</x:v>
      </x:c>
      <x:c r="C66" s="37" t="str">
        <x:v>教师积分激励</x:v>
      </x:c>
      <x:c r="D66" s="37" t="str">
        <x:v>5</x:v>
      </x:c>
      <x:c r="E66" s="37" t="str">
        <x:v>项目上线前应选取真实业务案例，将系统自动积分结果与学校人工计算结果进行双轨比对，验收样本结果一致率应达到100%。</x:v>
      </x:c>
      <x:c r="F66" s="37" t="str">
        <x:v>待学校/现场</x:v>
      </x:c>
      <x:c r="G66" s="37" t="str">
        <x:v>沿用R9已有内部准备；本条仍需真实学校或现场条件，未擅自替代签认。</x:v>
      </x:c>
      <x:c r="H66" s="37" t="str">
        <x:v>R5原基线 + evidence/r6/test_summary.json（回归集合，不等于逐条功能验收）；evidence/r8/full-python.xml（整体回归）</x:v>
      </x:c>
      <x:c r="I66" s="37" t="str">
        <x:v>真实MySQL/镜像/代理、原生浏览器、学校代表样本和签认、外部接口按本条适用性继续完成。 学校脱敏真实样本100%双轨对账及签认；原生浏览器打印/分页仍待实测。</x:v>
      </x:c>
      <x:c r="J66" s="37" t="str">
        <x:v>未最终验收</x:v>
      </x:c>
    </x:row>
    <x:row r="67" ht="84" customHeight="1">
      <x:c r="A67" s="36" t="str">
        <x:v>9.8</x:v>
      </x:c>
      <x:c r="B67" s="37" t="n">
        <x:v>9</x:v>
      </x:c>
      <x:c r="C67" s="37" t="str">
        <x:v>教师积分激励</x:v>
      </x:c>
      <x:c r="D67" s="37" t="str">
        <x:v>5</x:v>
      </x:c>
      <x:c r="E67" s="37" t="str">
        <x:v>积分规则应支持启用、停用、复制和试算，新规则正式启用前可选取教师样本预览计算结果，确认无误后再生效。</x:v>
      </x:c>
      <x:c r="F67" s="37" t="str">
        <x:v>沿用R9，未逐条重验</x:v>
      </x:c>
      <x:c r="G67" s="37" t="str">
        <x:v>沿用R9已交付能力；全套回归通过不等于本条每个细项重新验收。</x:v>
      </x:c>
      <x:c r="H67" s="37" t="str">
        <x:v>evidence/r9/full-python.xml（前轮）；evidence/r10/full-python.xml（整体回归）</x:v>
      </x:c>
      <x:c r="I67" s="37" t="str">
        <x:v>真实MySQL/镜像/代理、原生浏览器、学校代表样本和签认、外部接口按本条适用性继续完成。</x:v>
      </x:c>
      <x:c r="J67" s="37" t="str">
        <x:v>未最终验收</x:v>
      </x:c>
    </x:row>
    <x:row r="68" ht="84" customHeight="1">
      <x:c r="A68" s="36" t="str">
        <x:v>9.9</x:v>
      </x:c>
      <x:c r="B68" s="37" t="n">
        <x:v>9</x:v>
      </x:c>
      <x:c r="C68" s="37" t="str">
        <x:v>教师积分激励</x:v>
      </x:c>
      <x:c r="D68" s="37" t="str">
        <x:v>5,6</x:v>
      </x:c>
      <x:c r="E68" s="37" t="str">
        <x:v>支持对单个教师或指定积分项进行重新计算，无需每次执行全部教师的全量积分计算。</x:v>
      </x:c>
      <x:c r="F68" s="37" t="str">
        <x:v>沿用R9，未逐条重验</x:v>
      </x:c>
      <x:c r="G68" s="37" t="str">
        <x:v>沿用R9已交付能力；全套回归通过不等于本条每个细项重新验收。</x:v>
      </x:c>
      <x:c r="H68" s="37" t="str">
        <x:v>evidence/r9/full-python.xml（前轮）；evidence/r10/full-python.xml（整体回归）</x:v>
      </x:c>
      <x:c r="I68" s="37" t="str">
        <x:v>真实MySQL/镜像/代理、原生浏览器、学校代表样本和签认、外部接口按本条适用性继续完成。</x:v>
      </x:c>
      <x:c r="J68" s="37" t="str">
        <x:v>未最终验收</x:v>
      </x:c>
    </x:row>
    <x:row r="69" ht="84" customHeight="1">
      <x:c r="A69" s="36" t="str">
        <x:v>10.1</x:v>
      </x:c>
      <x:c r="B69" s="37" t="n">
        <x:v>10</x:v>
      </x:c>
      <x:c r="C69" s="37" t="str">
        <x:v>三级考核管理</x:v>
      </x:c>
      <x:c r="D69" s="37" t="str">
        <x:v>6</x:v>
      </x:c>
      <x:c r="E69" s="37" t="str">
        <x:v>建设三级考核管理功能，支持按照学校实际管理制度配置学校、二级学院、教研室、教师相关考核指标、权重、评分规则和适用周期。</x:v>
      </x:c>
      <x:c r="F69" s="37" t="str">
        <x:v>沿用R9，未逐条重验</x:v>
      </x:c>
      <x:c r="G69" s="37" t="str">
        <x:v>沿用R9已交付能力；全套回归通过不等于本条每个细项重新验收。</x:v>
      </x:c>
      <x:c r="H69" s="37" t="str">
        <x:v>evidence/r9/full-python.xml（前轮）；evidence/r10/full-python.xml（整体回归）</x:v>
      </x:c>
      <x:c r="I69" s="37" t="str">
        <x:v>真实MySQL/镜像/代理、原生浏览器、学校代表样本和签认、外部接口按本条适用性继续完成。</x:v>
      </x:c>
      <x:c r="J69" s="37" t="str">
        <x:v>未最终验收</x:v>
      </x:c>
    </x:row>
    <x:row r="70" ht="84" customHeight="1">
      <x:c r="A70" s="36" t="str">
        <x:v>10.2</x:v>
      </x:c>
      <x:c r="B70" s="37" t="n">
        <x:v>10</x:v>
      </x:c>
      <x:c r="C70" s="37" t="str">
        <x:v>三级考核管理</x:v>
      </x:c>
      <x:c r="D70" s="37" t="str">
        <x:v>6</x:v>
      </x:c>
      <x:c r="E70" s="37" t="str">
        <x:v>考核启动后应能够从平台已接入数据中自动获取相应考核数据并生成得分，单项指标应能够查看原始值、数据来源、适用规则、计算过程和得分明细。</x:v>
      </x:c>
      <x:c r="F70" s="37" t="str">
        <x:v>R10内部定向控制</x:v>
      </x:c>
      <x:c r="G70" s="37" t="str">
        <x:v>组织取数只平均核验过的教师归档成绩；保存所引用归档ID、摘要及当期分值。</x:v>
      </x:c>
      <x:c r="H70" s="37" t="str">
        <x:v>tests/r2/test_r10_org_evidence.py</x:v>
      </x:c>
      <x:c r="I70" s="37" t="str">
        <x:v>内部控制不等于条款终验；真实MySQL/浏览器/学校条件按本条适用性继续验证。</x:v>
      </x:c>
      <x:c r="J70" s="37" t="str">
        <x:v>未最终验收</x:v>
      </x:c>
    </x:row>
    <x:row r="71" ht="84" customHeight="1">
      <x:c r="A71" s="36" t="str">
        <x:v>10.3</x:v>
      </x:c>
      <x:c r="B71" s="37" t="n">
        <x:v>10</x:v>
      </x:c>
      <x:c r="C71" s="37" t="str">
        <x:v>三级考核管理</x:v>
      </x:c>
      <x:c r="D71" s="37" t="str">
        <x:v>6</x:v>
      </x:c>
      <x:c r="E71" s="37" t="str">
        <x:v>考核流程按照“数据采集—自动计算—教师确认/核对—教研室确认—学院确认—学校审核—归档”组织，并支持审核意见、退回处理、结果确认和过程留痕。</x:v>
      </x:c>
      <x:c r="F71" s="37" t="str">
        <x:v>R10内部定向控制</x:v>
      </x:c>
      <x:c r="G71" s="37" t="str">
        <x:v>新组织归档冻结办理轨迹和最后一步归档事件；后来追加日志不混入当期。</x:v>
      </x:c>
      <x:c r="H71" s="37" t="str">
        <x:v>tests/r2/test_r10_org_evidence.py</x:v>
      </x:c>
      <x:c r="I71" s="37" t="str">
        <x:v>内部控制不等于条款终验；真实MySQL/浏览器/学校条件按本条适用性继续验证。</x:v>
      </x:c>
      <x:c r="J71" s="37" t="str">
        <x:v>未最终验收</x:v>
      </x:c>
    </x:row>
    <x:row r="72" ht="84" customHeight="1">
      <x:c r="A72" s="36" t="str">
        <x:v>10.4</x:v>
      </x:c>
      <x:c r="B72" s="37" t="n">
        <x:v>10</x:v>
      </x:c>
      <x:c r="C72" s="37" t="str">
        <x:v>三级考核管理</x:v>
      </x:c>
      <x:c r="D72" s="37" t="str">
        <x:v>6</x:v>
      </x:c>
      <x:c r="E72" s="37" t="str">
        <x:v>支持教师对本人考核基础数据、指标得分和计算依据提出异议或核对申请；审核人员可根据权限开展人工复核、补充材料、重新取数和重新计算。</x:v>
      </x:c>
      <x:c r="F72" s="37" t="str">
        <x:v>沿用R9，未逐条重验</x:v>
      </x:c>
      <x:c r="G72" s="37" t="str">
        <x:v>沿用R9已交付能力；全套回归通过不等于本条每个细项重新验收。</x:v>
      </x:c>
      <x:c r="H72" s="37" t="str">
        <x:v>evidence/r9/full-python.xml（前轮）；evidence/r10/full-python.xml（整体回归）</x:v>
      </x:c>
      <x:c r="I72" s="37" t="str">
        <x:v>真实MySQL/镜像/代理、原生浏览器、学校代表样本和签认、外部接口按本条适用性继续完成。</x:v>
      </x:c>
      <x:c r="J72" s="37" t="str">
        <x:v>未最终验收</x:v>
      </x:c>
    </x:row>
    <x:row r="73" ht="84" customHeight="1">
      <x:c r="A73" s="36" t="str">
        <x:v>10.5</x:v>
      </x:c>
      <x:c r="B73" s="37" t="n">
        <x:v>10</x:v>
      </x:c>
      <x:c r="C73" s="37" t="str">
        <x:v>三级考核管理</x:v>
      </x:c>
      <x:c r="D73" s="37" t="str">
        <x:v>6</x:v>
      </x:c>
      <x:c r="E73" s="37" t="str">
        <x:v>考核指标、权重或评分规则需进行版本化管理；已归档考核结果应形成结果快照，后续规则变化不得静默改写既有历史结果。</x:v>
      </x:c>
      <x:c r="F73" s="37" t="str">
        <x:v>R10内部定向控制</x:v>
      </x:c>
      <x:c r="G73" s="37" t="str">
        <x:v>归档不只比对JSON摘要，还绑定组织、周期、规则、版本、得分和指标证据。</x:v>
      </x:c>
      <x:c r="H73" s="37" t="str">
        <x:v>tests/r2/test_r10_org_evidence.py</x:v>
      </x:c>
      <x:c r="I73" s="37" t="str">
        <x:v>内部控制不等于条款终验；真实MySQL/浏览器/学校条件按本条适用性继续验证。</x:v>
      </x:c>
      <x:c r="J73" s="37" t="str">
        <x:v>未最终验收</x:v>
      </x:c>
    </x:row>
    <x:row r="74" ht="84" customHeight="1">
      <x:c r="A74" s="36" t="str">
        <x:v>10.6</x:v>
      </x:c>
      <x:c r="B74" s="37" t="n">
        <x:v>10</x:v>
      </x:c>
      <x:c r="C74" s="37" t="str">
        <x:v>三级考核管理</x:v>
      </x:c>
      <x:c r="D74" s="37" t="str">
        <x:v>6</x:v>
      </x:c>
      <x:c r="E74" s="37" t="str">
        <x:v>对考核异常数据、人工调整和结果更正，应记录操作人员、操作时间、调整前值、调整后值、调整原因及依据，保证全过程可追溯。</x:v>
      </x:c>
      <x:c r="F74" s="37" t="str">
        <x:v>R10内部定向控制</x:v>
      </x:c>
      <x:c r="G74" s="37" t="str">
        <x:v>原办理轨迹继续留存；旧归档没冻结轨迹时明确显示，不用当前日志补写。</x:v>
      </x:c>
      <x:c r="H74" s="37" t="str">
        <x:v>tests/r2/test_r10_org_evidence.py</x:v>
      </x:c>
      <x:c r="I74" s="37" t="str">
        <x:v>内部控制不等于条款终验；真实MySQL/浏览器/学校条件按本条适用性继续验证。</x:v>
      </x:c>
      <x:c r="J74" s="37" t="str">
        <x:v>未最终验收</x:v>
      </x:c>
    </x:row>
    <x:row r="75" ht="84" customHeight="1">
      <x:c r="A75" s="36" t="str">
        <x:v>10.7</x:v>
      </x:c>
      <x:c r="B75" s="37" t="n">
        <x:v>10</x:v>
      </x:c>
      <x:c r="C75" s="37" t="str">
        <x:v>三级考核管理</x:v>
      </x:c>
      <x:c r="D75" s="37" t="str">
        <x:v>6</x:v>
      </x:c>
      <x:c r="E75" s="37" t="str">
        <x:v>考核结果需支持排名、查询、导出和打印；系统正式上线前应选取代表性真实案例与学校现行人工计算结果开展双轨比对，验收样本计算一致率应达到100%。</x:v>
      </x:c>
      <x:c r="F75" s="37" t="str">
        <x:v>R10内部定向控制</x:v>
      </x:c>
      <x:c r="G75" s="37" t="str">
        <x:v>列表、打印接口、Excel、排名统一核验；排名包含分页之外参与排名的归档。</x:v>
      </x:c>
      <x:c r="H75" s="37" t="str">
        <x:v>tests/r2/test_r10_org_evidence.py</x:v>
      </x:c>
      <x:c r="I75" s="37" t="str">
        <x:v>内部子项已验证；真实打印分页、学校代表样本100%双轨比对与签认仍待。</x:v>
      </x:c>
      <x:c r="J75" s="37" t="str">
        <x:v>未最终验收</x:v>
      </x:c>
    </x:row>
    <x:row r="76" ht="84" customHeight="1">
      <x:c r="A76" s="36" t="str">
        <x:v>10.8</x:v>
      </x:c>
      <x:c r="B76" s="37" t="n">
        <x:v>10</x:v>
      </x:c>
      <x:c r="C76" s="37" t="str">
        <x:v>三级考核管理</x:v>
      </x:c>
      <x:c r="D76" s="37" t="str">
        <x:v>6</x:v>
      </x:c>
      <x:c r="E76" s="37" t="str">
        <x:v>考核指标、权重、评分规则和适用周期应支持配置维护，并可复制上一考核周期的规则形成新周期配置，在此基础上进行调整。</x:v>
      </x:c>
      <x:c r="F76" s="37" t="str">
        <x:v>沿用R9，未逐条重验</x:v>
      </x:c>
      <x:c r="G76" s="37" t="str">
        <x:v>沿用R9已交付能力；全套回归通过不等于本条每个细项重新验收。</x:v>
      </x:c>
      <x:c r="H76" s="37" t="str">
        <x:v>evidence/r9/full-python.xml（前轮）；evidence/r10/full-python.xml（整体回归）</x:v>
      </x:c>
      <x:c r="I76" s="37" t="str">
        <x:v>真实MySQL/镜像/代理、原生浏览器、学校代表样本和签认、外部接口按本条适用性继续完成。</x:v>
      </x:c>
      <x:c r="J76" s="37" t="str">
        <x:v>未最终验收</x:v>
      </x:c>
    </x:row>
    <x:row r="77" ht="84" customHeight="1">
      <x:c r="A77" s="36" t="str">
        <x:v>10.9</x:v>
      </x:c>
      <x:c r="B77" s="37" t="n">
        <x:v>10</x:v>
      </x:c>
      <x:c r="C77" s="37" t="str">
        <x:v>三级考核管理</x:v>
      </x:c>
      <x:c r="D77" s="37" t="str">
        <x:v>6</x:v>
      </x:c>
      <x:c r="E77" s="37" t="str">
        <x:v>考核过程中应能够查看教师确认、教研室确认、学院确认、学校审核等各级处理进度，并支持按未处理、已完成、退回等状态筛选。</x:v>
      </x:c>
      <x:c r="F77" s="37" t="str">
        <x:v>沿用R9，未逐条重验</x:v>
      </x:c>
      <x:c r="G77" s="37" t="str">
        <x:v>沿用R9已交付能力；全套回归通过不等于本条每个细项重新验收。</x:v>
      </x:c>
      <x:c r="H77" s="37" t="str">
        <x:v>evidence/r9/full-python.xml（前轮）；evidence/r10/full-python.xml（整体回归）</x:v>
      </x:c>
      <x:c r="I77" s="37" t="str">
        <x:v>真实MySQL/镜像/代理、原生浏览器、学校代表样本和签认、外部接口按本条适用性继续完成。</x:v>
      </x:c>
      <x:c r="J77" s="37" t="str">
        <x:v>未最终验收</x:v>
      </x:c>
    </x:row>
    <x:row r="78" ht="84" customHeight="1">
      <x:c r="A78" s="36" t="str">
        <x:v>11.1</x:v>
      </x:c>
      <x:c r="B78" s="37" t="n">
        <x:v>11</x:v>
      </x:c>
      <x:c r="C78" s="37" t="str">
        <x:v>湘培直通车平台对接</x:v>
      </x:c>
      <x:c r="D78" s="37" t="str">
        <x:v>6</x:v>
      </x:c>
      <x:c r="E78" s="37" t="str">
        <x:v>按照湘培直通车省级平台接口规范完成接口对接和联调，实现平台与省级平台之间相关业务数据同步。</x:v>
      </x:c>
      <x:c r="F78" s="37" t="str">
        <x:v>待学校/现场</x:v>
      </x:c>
      <x:c r="G78" s="37" t="str">
        <x:v>沿用R9已有内部准备；本条仍需真实学校或现场条件，未擅自替代签认。</x:v>
      </x:c>
      <x:c r="H78" s="37" t="str">
        <x:v>R5原基线 + evidence/r6/test_summary.json（回归集合，不等于逐条功能验收）；evidence/r8/full-python.xml（整体回归）</x:v>
      </x:c>
      <x:c r="I78" s="37" t="str">
        <x:v>省级正式协议、网络/凭据、脱敏真实报文、幂等与至少3次真实重试联调；本轮协议替身不是已接通。</x:v>
      </x:c>
      <x:c r="J78" s="37" t="str">
        <x:v>未最终验收</x:v>
      </x:c>
    </x:row>
    <x:row r="79" ht="84" customHeight="1">
      <x:c r="A79" s="36" t="str">
        <x:v>11.2</x:v>
      </x:c>
      <x:c r="B79" s="37" t="n">
        <x:v>11</x:v>
      </x:c>
      <x:c r="C79" s="37" t="str">
        <x:v>湘培直通车平台对接</x:v>
      </x:c>
      <x:c r="D79" s="37" t="str">
        <x:v>6</x:v>
      </x:c>
      <x:c r="E79" s="37" t="str">
        <x:v>接口开发前需确认省级平台可用接口清单、字段标准、鉴权方式、调用频率、接口责任单位及可用性条件，并形成接口确认记录。</x:v>
      </x:c>
      <x:c r="F79" s="37" t="str">
        <x:v>待学校/现场</x:v>
      </x:c>
      <x:c r="G79" s="37" t="str">
        <x:v>沿用R9已有内部准备；本条仍需真实学校或现场条件，未擅自替代签认。</x:v>
      </x:c>
      <x:c r="H79" s="37" t="str">
        <x:v>R5原基线 + evidence/r6/test_summary.json（回归集合，不等于逐条功能验收）；evidence/r8/full-python.xml（整体回归）</x:v>
      </x:c>
      <x:c r="I79" s="37" t="str">
        <x:v>省级正式协议、网络/凭据、脱敏真实报文、幂等与至少3次真实重试联调；本轮协议替身不是已接通。</x:v>
      </x:c>
      <x:c r="J79" s="37" t="str">
        <x:v>未最终验收</x:v>
      </x:c>
    </x:row>
    <x:row r="80" ht="84" customHeight="1">
      <x:c r="A80" s="36" t="str">
        <x:v>11.3</x:v>
      </x:c>
      <x:c r="B80" s="37" t="n">
        <x:v>11</x:v>
      </x:c>
      <x:c r="C80" s="37" t="str">
        <x:v>湘培直通车平台对接</x:v>
      </x:c>
      <x:c r="D80" s="37" t="str">
        <x:v>6</x:v>
      </x:c>
      <x:c r="E80" s="37" t="str">
        <x:v>同步数据范围包括培训项目、课程、计划、班级、教师授课、人次、学习过程、培训记录、考核结果、结业结果、证书信息等。</x:v>
      </x:c>
      <x:c r="F80" s="37" t="str">
        <x:v>待学校/现场</x:v>
      </x:c>
      <x:c r="G80" s="37" t="str">
        <x:v>沿用R9已有内部准备；本条仍需真实学校或现场条件，未擅自替代签认。</x:v>
      </x:c>
      <x:c r="H80" s="37" t="str">
        <x:v>R5原基线 + evidence/r6/test_summary.json（回归集合，不等于逐条功能验收）；evidence/r8/full-python.xml（整体回归）</x:v>
      </x:c>
      <x:c r="I80" s="37" t="str">
        <x:v>省级正式协议、网络/凭据、脱敏真实报文、幂等与至少3次真实重试联调；本轮协议替身不是已接通。</x:v>
      </x:c>
      <x:c r="J80" s="37" t="str">
        <x:v>未最终验收</x:v>
      </x:c>
    </x:row>
    <x:row r="81" ht="84" customHeight="1">
      <x:c r="A81" s="36" t="str">
        <x:v>11.4</x:v>
      </x:c>
      <x:c r="B81" s="37" t="n">
        <x:v>11</x:v>
      </x:c>
      <x:c r="C81" s="37" t="str">
        <x:v>湘培直通车平台对接</x:v>
      </x:c>
      <x:c r="D81" s="37" t="str">
        <x:v>6,7</x:v>
      </x:c>
      <x:c r="E81" s="37" t="str">
        <x:v>同步任务需记录任务状态、逐笔同步记录、接口调用日志和处理结果；对同步失败的数据应支持自动重试（不少于3 次）、失败原因记录和人工补传。</x:v>
      </x:c>
      <x:c r="F81" s="37" t="str">
        <x:v>沿用R9，未逐条重验</x:v>
      </x:c>
      <x:c r="G81" s="37" t="str">
        <x:v>沿用R9已交付能力；全套回归通过不等于本条每个细项重新验收。</x:v>
      </x:c>
      <x:c r="H81" s="37" t="str">
        <x:v>evidence/r9/full-python.xml（前轮）；evidence/r10/full-python.xml（整体回归）</x:v>
      </x:c>
      <x:c r="I81" s="37" t="str">
        <x:v>省级正式协议、网络/凭据、脱敏真实报文、幂等与至少3次真实重试联调；本轮协议替身不是已接通。</x:v>
      </x:c>
      <x:c r="J81" s="37" t="str">
        <x:v>未最终验收</x:v>
      </x:c>
    </x:row>
    <x:row r="82" ht="84" customHeight="1">
      <x:c r="A82" s="36" t="str">
        <x:v>11.5</x:v>
      </x:c>
      <x:c r="B82" s="37" t="n">
        <x:v>11</x:v>
      </x:c>
      <x:c r="C82" s="37" t="str">
        <x:v>湘培直通车平台对接</x:v>
      </x:c>
      <x:c r="D82" s="37" t="str">
        <x:v>7</x:v>
      </x:c>
      <x:c r="E82" s="37" t="str">
        <x:v>项目建设及免费质保期内，因省级平台正常版本升级、字段合理调整或接口小幅变化产生的适配工作，供应商应提供免费技术支持；涉及重大新增接口或超出原采购范围的改造由双方另行确认。</x:v>
      </x:c>
      <x:c r="F82" s="37" t="str">
        <x:v>待学校/现场</x:v>
      </x:c>
      <x:c r="G82" s="37" t="str">
        <x:v>沿用R9已有内部准备；本条仍需真实学校或现场条件，未擅自替代签认。</x:v>
      </x:c>
      <x:c r="H82" s="37" t="str">
        <x:v>R5原基线 + evidence/r6/test_summary.json（回归集合，不等于逐条功能验收）；evidence/r8/full-python.xml（整体回归）</x:v>
      </x:c>
      <x:c r="I82" s="37" t="str">
        <x:v>省级正式协议、网络/凭据、脱敏真实报文、幂等与至少3次真实重试联调；本轮协议替身不是已接通。</x:v>
      </x:c>
      <x:c r="J82" s="37" t="str">
        <x:v>未最终验收</x:v>
      </x:c>
    </x:row>
    <x:row r="83" ht="84" customHeight="1">
      <x:c r="A83" s="36" t="str">
        <x:v>11.6</x:v>
      </x:c>
      <x:c r="B83" s="37" t="n">
        <x:v>11</x:v>
      </x:c>
      <x:c r="C83" s="37" t="str">
        <x:v>湘培直通车平台对接</x:v>
      </x:c>
      <x:c r="D83" s="37" t="str">
        <x:v>7</x:v>
      </x:c>
      <x:c r="E83" s="37" t="str">
        <x:v>在正式联调前应使用脱敏真实业务数据完成关键报文、字段映射、异常返回和重试机制验证。</x:v>
      </x:c>
      <x:c r="F83" s="37" t="str">
        <x:v>待学校/现场</x:v>
      </x:c>
      <x:c r="G83" s="37" t="str">
        <x:v>沿用R9已有内部准备；本条仍需真实学校或现场条件，未擅自替代签认。</x:v>
      </x:c>
      <x:c r="H83" s="37" t="str">
        <x:v>R5原基线 + evidence/r6/test_summary.json（回归集合，不等于逐条功能验收）；evidence/r8/full-python.xml（整体回归）</x:v>
      </x:c>
      <x:c r="I83" s="37" t="str">
        <x:v>省级正式协议、网络/凭据、脱敏真实报文、幂等与至少3次真实重试联调；本轮协议替身不是已接通。</x:v>
      </x:c>
      <x:c r="J83" s="37" t="str">
        <x:v>未最终验收</x:v>
      </x:c>
    </x:row>
    <x:row r="84" ht="84" customHeight="1">
      <x:c r="A84" s="36" t="str">
        <x:v>11.7</x:v>
      </x:c>
      <x:c r="B84" s="37" t="n">
        <x:v>11</x:v>
      </x:c>
      <x:c r="C84" s="37" t="str">
        <x:v>湘培直通车平台对接</x:v>
      </x:c>
      <x:c r="D84" s="37" t="str">
        <x:v>7</x:v>
      </x:c>
      <x:c r="E84" s="37" t="str">
        <x:v>项目交付时需形成省级平台接口文档、字段映射说明、联调记录、异常处理说明及问题处理清单。</x:v>
      </x:c>
      <x:c r="F84" s="37" t="str">
        <x:v>待学校/现场</x:v>
      </x:c>
      <x:c r="G84" s="37" t="str">
        <x:v>沿用R9已有内部准备；本条仍需真实学校或现场条件，未擅自替代签认。</x:v>
      </x:c>
      <x:c r="H84" s="37" t="str">
        <x:v>R5原基线 + evidence/r6/test_summary.json（回归集合，不等于逐条功能验收）；evidence/r8/full-python.xml（整体回归）</x:v>
      </x:c>
      <x:c r="I84" s="37" t="str">
        <x:v>省级正式协议、网络/凭据、脱敏真实报文、幂等与至少3次真实重试联调；本轮协议替身不是已接通。</x:v>
      </x:c>
      <x:c r="J84" s="37" t="str">
        <x:v>未最终验收</x:v>
      </x:c>
    </x:row>
    <x:row r="85" ht="84" customHeight="1">
      <x:c r="A85" s="36" t="str">
        <x:v>11.8</x:v>
      </x:c>
      <x:c r="B85" s="37" t="n">
        <x:v>11</x:v>
      </x:c>
      <x:c r="C85" s="37" t="str">
        <x:v>湘培直通车平台对接</x:v>
      </x:c>
      <x:c r="D85" s="37" t="str">
        <x:v>7</x:v>
      </x:c>
      <x:c r="E85" s="37" t="str">
        <x:v>对同步失败的数据应支持单条重试、批量重试和人工补传，并保留原失败记录及后续处理结果。</x:v>
      </x:c>
      <x:c r="F85" s="37" t="str">
        <x:v>沿用R9，未逐条重验</x:v>
      </x:c>
      <x:c r="G85" s="37" t="str">
        <x:v>沿用R9已交付能力；全套回归通过不等于本条每个细项重新验收。</x:v>
      </x:c>
      <x:c r="H85" s="37" t="str">
        <x:v>evidence/r9/full-python.xml（前轮）；evidence/r10/full-python.xml（整体回归）</x:v>
      </x:c>
      <x:c r="I85" s="37" t="str">
        <x:v>省级正式协议、网络/凭据、脱敏真实报文、幂等与至少3次真实重试联调；本轮协议替身不是已接通。</x:v>
      </x:c>
      <x:c r="J85" s="37" t="str">
        <x:v>未最终验收</x:v>
      </x:c>
    </x:row>
    <x:row r="86" ht="84" customHeight="1">
      <x:c r="A86" s="36" t="str">
        <x:v>11.9</x:v>
      </x:c>
      <x:c r="B86" s="37" t="n">
        <x:v>11</x:v>
      </x:c>
      <x:c r="C86" s="37" t="str">
        <x:v>湘培直通车平台对接</x:v>
      </x:c>
      <x:c r="D86" s="37" t="str">
        <x:v>7</x:v>
      </x:c>
      <x:c r="E86" s="37" t="str">
        <x:v>对同一业务数据的重复提交应具备必要的重复识别或幂等处理能力，避免因重复调用产生重复业务数据。</x:v>
      </x:c>
      <x:c r="F86" s="37" t="str">
        <x:v>沿用R9，未逐条重验</x:v>
      </x:c>
      <x:c r="G86" s="37" t="str">
        <x:v>沿用R9已交付能力；全套回归通过不等于本条每个细项重新验收。</x:v>
      </x:c>
      <x:c r="H86" s="37" t="str">
        <x:v>evidence/r9/full-python.xml（前轮）；evidence/r10/full-python.xml（整体回归）</x:v>
      </x:c>
      <x:c r="I86" s="37" t="str">
        <x:v>省级正式协议、网络/凭据、脱敏真实报文、幂等与至少3次真实重试联调；本轮协议替身不是已接通。</x:v>
      </x:c>
      <x:c r="J86" s="37" t="str">
        <x:v>未最终验收</x:v>
      </x:c>
    </x:row>
    <x:row r="87" ht="84" customHeight="1">
      <x:c r="A87" s="36" t="str">
        <x:v>12.1</x:v>
      </x:c>
      <x:c r="B87" s="37" t="n">
        <x:v>12</x:v>
      </x:c>
      <x:c r="C87" s="37" t="str">
        <x:v>操作日志、安全审计、消息待办、附件权限</x:v>
      </x:c>
      <x:c r="D87" s="37" t="str">
        <x:v>7</x:v>
      </x:c>
      <x:c r="E87" s="37" t="str">
        <x:v>建立覆盖平台关键业务的操作日志和安全审计机制，对登录、查询、导出、权限调整、资质审核、积分处理、考核审核、接口同步等重要操作进行记录。</x:v>
      </x:c>
      <x:c r="F87" s="37" t="str">
        <x:v>沿用R9，未逐条重验</x:v>
      </x:c>
      <x:c r="G87" s="37" t="str">
        <x:v>沿用R9已交付能力；全套回归通过不等于本条每个细项重新验收。</x:v>
      </x:c>
      <x:c r="H87" s="37" t="str">
        <x:v>evidence/r9/full-python.xml（前轮）；evidence/r10/full-python.xml（整体回归）</x:v>
      </x:c>
      <x:c r="I87" s="37" t="str">
        <x:v>真实MySQL/镜像/代理、原生浏览器、学校代表样本和签认、外部接口按本条适用性继续完成。</x:v>
      </x:c>
      <x:c r="J87" s="37" t="str">
        <x:v>未最终验收</x:v>
      </x:c>
    </x:row>
    <x:row r="88" ht="84" customHeight="1">
      <x:c r="A88" s="36" t="str">
        <x:v>12.2</x:v>
      </x:c>
      <x:c r="B88" s="37" t="n">
        <x:v>12</x:v>
      </x:c>
      <x:c r="C88" s="37" t="str">
        <x:v>操作日志、安全审计、消息待办、附件权限</x:v>
      </x:c>
      <x:c r="D88" s="37" t="str">
        <x:v>7</x:v>
      </x:c>
      <x:c r="E88" s="37" t="str">
        <x:v>日志信息应包括操作用户、所属组织、操作时间、业务模块、业务对象、操作内容、调整前后值（适用时）和处理结果等，并支持按条件查询和问题追踪。</x:v>
      </x:c>
      <x:c r="F88" s="37" t="str">
        <x:v>R10内部定向控制</x:v>
      </x:c>
      <x:c r="G88" s="37" t="str">
        <x:v>历史归档办理记录与当期结果共同冻结，后续日志不静默改变已归档展示。</x:v>
      </x:c>
      <x:c r="H88" s="37" t="str">
        <x:v>tests/r2/test_r10_org_evidence.py</x:v>
      </x:c>
      <x:c r="I88" s="37" t="str">
        <x:v>内部控制不等于条款终验；真实MySQL/浏览器/学校条件按本条适用性继续验证。</x:v>
      </x:c>
      <x:c r="J88" s="37" t="str">
        <x:v>未最终验收</x:v>
      </x:c>
    </x:row>
    <x:row r="89" ht="84" customHeight="1">
      <x:c r="A89" s="36" t="str">
        <x:v>12.3</x:v>
      </x:c>
      <x:c r="B89" s="37" t="n">
        <x:v>12</x:v>
      </x:c>
      <x:c r="C89" s="37" t="str">
        <x:v>操作日志、安全审计、消息待办、附件权限</x:v>
      </x:c>
      <x:c r="D89" s="37" t="str">
        <x:v>7</x:v>
      </x:c>
      <x:c r="E89" s="37" t="str">
        <x:v>对异常访问、越权操作、关键配置变更和接口异常等情况形成安全提示或审计记录，为学校内部安全检查和问题排查提供依据。</x:v>
      </x:c>
      <x:c r="F89" s="37" t="str">
        <x:v>沿用R9，未逐条重验</x:v>
      </x:c>
      <x:c r="G89" s="37" t="str">
        <x:v>沿用R9已交付能力；全套回归通过不等于本条每个细项重新验收。</x:v>
      </x:c>
      <x:c r="H89" s="37" t="str">
        <x:v>evidence/r9/full-python.xml（前轮）；evidence/r10/full-python.xml（整体回归）</x:v>
      </x:c>
      <x:c r="I89" s="37" t="str">
        <x:v>真实MySQL/镜像/代理、原生浏览器、学校代表样本和签认、外部接口按本条适用性继续完成。</x:v>
      </x:c>
      <x:c r="J89" s="37" t="str">
        <x:v>未最终验收</x:v>
      </x:c>
    </x:row>
    <x:row r="90" ht="84" customHeight="1">
      <x:c r="A90" s="36" t="str">
        <x:v>12.4</x:v>
      </x:c>
      <x:c r="B90" s="37" t="n">
        <x:v>12</x:v>
      </x:c>
      <x:c r="C90" s="37" t="str">
        <x:v>操作日志、安全审计、消息待办、附件权限</x:v>
      </x:c>
      <x:c r="D90" s="37" t="str">
        <x:v>7</x:v>
      </x:c>
      <x:c r="E90" s="37" t="str">
        <x:v>建设统一消息待办能力，将审核待办、同步异常、资质到期和考核确认等事项集中呈现，并支持跳转至对应业务进行处理。</x:v>
      </x:c>
      <x:c r="F90" s="37" t="str">
        <x:v>沿用R9，未逐条重验</x:v>
      </x:c>
      <x:c r="G90" s="37" t="str">
        <x:v>沿用R9已交付能力；全套回归通过不等于本条每个细项重新验收。</x:v>
      </x:c>
      <x:c r="H90" s="37" t="str">
        <x:v>evidence/r9/full-python.xml（前轮）；evidence/r10/full-python.xml（整体回归）</x:v>
      </x:c>
      <x:c r="I90" s="37" t="str">
        <x:v>真实MySQL/镜像/代理、原生浏览器、学校代表样本和签认、外部接口按本条适用性继续完成。</x:v>
      </x:c>
      <x:c r="J90" s="37" t="str">
        <x:v>未最终验收</x:v>
      </x:c>
    </x:row>
    <x:row r="91" ht="84" customHeight="1">
      <x:c r="A91" s="36" t="str">
        <x:v>12.5</x:v>
      </x:c>
      <x:c r="B91" s="37" t="n">
        <x:v>12</x:v>
      </x:c>
      <x:c r="C91" s="37" t="str">
        <x:v>操作日志、安全审计、消息待办、附件权限</x:v>
      </x:c>
      <x:c r="D91" s="37" t="str">
        <x:v>7</x:v>
      </x:c>
      <x:c r="E91" s="37" t="str">
        <x:v>教师资质材料、考核材料和同步佐证材料等附件需与业务对象和用户权限绑定，对文件查看、下载等行为进行权限校验并保留必要审计记录。</x:v>
      </x:c>
      <x:c r="F91" s="37" t="str">
        <x:v>R10内部定向控制</x:v>
      </x:c>
      <x:c r="G91" s="37" t="str">
        <x:v>Excel错误文件与预览下载按当前业务权限校验；涉及组织证据的移交同步核验。</x:v>
      </x:c>
      <x:c r="H91" s="37" t="str">
        <x:v>tests/r2/test_r10_import_access.py；tests/r2/test_r10_org_evidence.py</x:v>
      </x:c>
      <x:c r="I91" s="37" t="str">
        <x:v>内部控制不等于条款终验；真实MySQL/浏览器/学校条件按本条适用性继续验证。</x:v>
      </x:c>
      <x:c r="J91" s="37" t="str">
        <x:v>未最终验收</x:v>
      </x:c>
    </x:row>
    <x:row r="92" ht="84" customHeight="1">
      <x:c r="A92" s="36" t="str">
        <x:v>12.6</x:v>
      </x:c>
      <x:c r="B92" s="37" t="n">
        <x:v>12</x:v>
      </x:c>
      <x:c r="C92" s="37" t="str">
        <x:v>操作日志、安全审计、消息待办、附件权限</x:v>
      </x:c>
      <x:c r="D92" s="37" t="str">
        <x:v>7</x:v>
      </x:c>
      <x:c r="E92" s="37" t="str">
        <x:v>对涉及教师身份、联系方式、证书材料等敏感信息，应结合用户角色和数据权限进行脱敏展示或访问限制。</x:v>
      </x:c>
      <x:c r="F92" s="37" t="str">
        <x:v>R10内部定向控制</x:v>
      </x:c>
      <x:c r="G92" s="37" t="str">
        <x:v>受限导入列表隐藏文件名、行数和生成对象ID，仅保留批次引用及原因。</x:v>
      </x:c>
      <x:c r="H92" s="37" t="str">
        <x:v>tests/r2/test_r10_import_access.py</x:v>
      </x:c>
      <x:c r="I92" s="37" t="str">
        <x:v>内部控制不等于条款终验；真实MySQL/浏览器/学校条件按本条适用性继续验证。</x:v>
      </x:c>
      <x:c r="J92" s="37" t="str">
        <x:v>未最终验收</x:v>
      </x:c>
    </x:row>
    <x:row r="93" ht="84" customHeight="1">
      <x:c r="A93" s="36" t="str">
        <x:v>13.1</x:v>
      </x:c>
      <x:c r="B93" s="37" t="n">
        <x:v>13</x:v>
      </x:c>
      <x:c r="C93" s="37" t="str">
        <x:v>安全保障与部署上线</x:v>
      </x:c>
      <x:c r="D93" s="37" t="str">
        <x:v>7</x:v>
      </x:c>
      <x:c r="E93" s="37" t="str">
        <x:v>平台采用B/S 架构和前后端分离模式，满足PC 端访问要求，系统设计需兼顾模块化、组件化、配置化和接口化，便于后续业务扩展、规则调整和外部接口适配。</x:v>
      </x:c>
      <x:c r="F93" s="37" t="str">
        <x:v>沿用R9，未逐条重验</x:v>
      </x:c>
      <x:c r="G93" s="37" t="str">
        <x:v>沿用R9已交付能力；全套回归通过不等于本条每个细项重新验收。</x:v>
      </x:c>
      <x:c r="H93" s="37" t="str">
        <x:v>evidence/r9/full-python.xml（前轮）；evidence/r10/full-python.xml（整体回归）</x:v>
      </x:c>
      <x:c r="I93" s="37" t="str">
        <x:v>真实MySQL/镜像/代理、原生浏览器、学校代表样本和签认、外部接口按本条适用性继续完成。</x:v>
      </x:c>
      <x:c r="J93" s="37" t="str">
        <x:v>未最终验收</x:v>
      </x:c>
    </x:row>
    <x:row r="94" ht="84" customHeight="1">
      <x:c r="A94" s="36" t="str">
        <x:v>13.2</x:v>
      </x:c>
      <x:c r="B94" s="37" t="n">
        <x:v>13</x:v>
      </x:c>
      <x:c r="C94" s="37" t="str">
        <x:v>安全保障与部署上线</x:v>
      </x:c>
      <x:c r="D94" s="37" t="str">
        <x:v>7,8</x:v>
      </x:c>
      <x:c r="E94" s="37" t="str">
        <x:v>平台部署在学校指定服务器、虚拟化资源或私有云环境，包含前端服务、后端服务、数据库服务、文件存储服务、接口网络访问和日志存储等运行能力。</x:v>
      </x:c>
      <x:c r="F94" s="37" t="str">
        <x:v>沿用R9，未逐条重验</x:v>
      </x:c>
      <x:c r="G94" s="37" t="str">
        <x:v>沿用R9已交付能力；全套回归通过不等于本条每个细项重新验收。</x:v>
      </x:c>
      <x:c r="H94" s="37" t="str">
        <x:v>evidence/r9/full-python.xml（前轮）；evidence/r10/full-python.xml（整体回归）</x:v>
      </x:c>
      <x:c r="I94" s="37" t="str">
        <x:v>真实MySQL/镜像/代理、原生浏览器、学校代表样本和签认、外部接口按本条适用性继续完成。</x:v>
      </x:c>
      <x:c r="J94" s="37" t="str">
        <x:v>未最终验收</x:v>
      </x:c>
    </x:row>
    <x:row r="95" ht="84" customHeight="1">
      <x:c r="A95" s="36" t="str">
        <x:v>13.3</x:v>
      </x:c>
      <x:c r="B95" s="37" t="n">
        <x:v>13</x:v>
      </x:c>
      <x:c r="C95" s="37" t="str">
        <x:v>安全保障与部署上线</x:v>
      </x:c>
      <x:c r="D95" s="37" t="str">
        <x:v>8</x:v>
      </x:c>
      <x:c r="E95" s="37" t="str">
        <x:v>接口安全需结合学校现有环境采用令牌、签名、时间戳、防重放、参数校验和接口日志等机制，保障统一认证、数据中台和湘培直通车接口调用安全。</x:v>
      </x:c>
      <x:c r="F95" s="37" t="str">
        <x:v>沿用R9，未逐条重验</x:v>
      </x:c>
      <x:c r="G95" s="37" t="str">
        <x:v>沿用R9已交付能力；全套回归通过不等于本条每个细项重新验收。</x:v>
      </x:c>
      <x:c r="H95" s="37" t="str">
        <x:v>evidence/r9/full-python.xml（前轮）；evidence/r10/full-python.xml（整体回归）</x:v>
      </x:c>
      <x:c r="I95" s="37" t="str">
        <x:v>真实MySQL/镜像/代理、原生浏览器、学校代表样本和签认、外部接口按本条适用性继续完成。</x:v>
      </x:c>
      <x:c r="J95" s="37" t="str">
        <x:v>未最终验收</x:v>
      </x:c>
    </x:row>
    <x:row r="96" ht="84" customHeight="1">
      <x:c r="A96" s="36" t="str">
        <x:v>13.4</x:v>
      </x:c>
      <x:c r="B96" s="37" t="n">
        <x:v>13</x:v>
      </x:c>
      <x:c r="C96" s="37" t="str">
        <x:v>安全保障与部署上线</x:v>
      </x:c>
      <x:c r="D96" s="37" t="str">
        <x:v>8</x:v>
      </x:c>
      <x:c r="E96" s="37" t="str">
        <x:v>上线前需完成组织机构、角色权限、字典项、考核周期、系统参数、管理员账号和接口参数初始化，并完成统一认证、数据中台、湘培直通车的连通性验证及字段映射确认。</x:v>
      </x:c>
      <x:c r="F96" s="37" t="str">
        <x:v>沿用R9，未逐条重验</x:v>
      </x:c>
      <x:c r="G96" s="37" t="str">
        <x:v>沿用R9已交付能力；全套回归通过不等于本条每个细项重新验收。</x:v>
      </x:c>
      <x:c r="H96" s="37" t="str">
        <x:v>evidence/r9/full-python.xml（前轮）；evidence/r10/full-python.xml（整体回归）</x:v>
      </x:c>
      <x:c r="I96" s="37" t="str">
        <x:v>真实MySQL/镜像/代理、原生浏览器、学校代表样本和签认、外部接口按本条适用性继续完成。</x:v>
      </x:c>
      <x:c r="J96" s="37" t="str">
        <x:v>未最终验收</x:v>
      </x:c>
    </x:row>
    <x:row r="97" ht="84" customHeight="1">
      <x:c r="A97" s="36" t="str">
        <x:v>13.5</x:v>
      </x:c>
      <x:c r="B97" s="37" t="n">
        <x:v>13</x:v>
      </x:c>
      <x:c r="C97" s="37" t="str">
        <x:v>安全保障与部署上线</x:v>
      </x:c>
      <x:c r="D97" s="37" t="str">
        <x:v>8</x:v>
      </x:c>
      <x:c r="E97" s="37" t="str">
        <x:v>上线前需完成主要功能、四级权限、接口同步、积分计算、三级考核和异常场景测试，并使用脱敏真实数据完成关键业务验证。</x:v>
      </x:c>
      <x:c r="F97" s="37" t="str">
        <x:v>R10内部定向控制</x:v>
      </x:c>
      <x:c r="G97" s="37" t="str">
        <x:v>562 Python、56 Node及87次HTTPS控制通过；未代替真实MySQL、原生浏览器及学校测试。</x:v>
      </x:c>
      <x:c r="H97" s="37" t="str">
        <x:v>evidence/r10/test_summary.json</x:v>
      </x:c>
      <x:c r="I97" s="37" t="str">
        <x:v>内部控制不等于条款终验；真实MySQL/浏览器/学校条件按本条适用性继续验证。</x:v>
      </x:c>
      <x:c r="J97" s="37" t="str">
        <x:v>未最终验收</x:v>
      </x:c>
    </x:row>
    <x:row r="98" ht="84" customHeight="1">
      <x:c r="A98" s="36" t="str">
        <x:v>13.6</x:v>
      </x:c>
      <x:c r="B98" s="37" t="n">
        <x:v>13</x:v>
      </x:c>
      <x:c r="C98" s="37" t="str">
        <x:v>安全保障与部署上线</x:v>
      </x:c>
      <x:c r="D98" s="37" t="str">
        <x:v>8</x:v>
      </x:c>
      <x:c r="E98" s="37" t="str">
        <x:v>项目交付需提供可独立部署运行的系统版本、数据库脚本、部署配置、接口文档、数据字典、测试报告、用户手册、试运行记录、问题整改清单和验收材料。</x:v>
      </x:c>
      <x:c r="F98" s="37" t="str">
        <x:v>沿用R9，未逐条重验</x:v>
      </x:c>
      <x:c r="G98" s="37" t="str">
        <x:v>沿用R9已交付能力；全套回归通过不等于本条每个细项重新验收。</x:v>
      </x:c>
      <x:c r="H98" s="37" t="str">
        <x:v>evidence/r9/full-python.xml（前轮）；evidence/r10/full-python.xml（整体回归）</x:v>
      </x:c>
      <x:c r="I98" s="37" t="str">
        <x:v>真实MySQL/镜像/代理、原生浏览器、学校代表样本和签认、外部接口按本条适用性继续完成。</x:v>
      </x:c>
      <x:c r="J98" s="37" t="str">
        <x:v>未最终验收</x:v>
      </x:c>
    </x:row>
    <x:row r="99" ht="84" customHeight="1">
      <x:c r="A99" s="36" t="str">
        <x:v>13.7</x:v>
      </x:c>
      <x:c r="B99" s="37" t="n">
        <x:v>13</x:v>
      </x:c>
      <x:c r="C99" s="37" t="str">
        <x:v>安全保障与部署上线</x:v>
      </x:c>
      <x:c r="D99" s="37" t="str">
        <x:v>8</x:v>
      </x:c>
      <x:c r="E99" s="37" t="str">
        <x:v>在学校网络和服务器资源正常的条件下，普通业务页面响应时间原则上不超过3 秒，复杂统计分析页面响应时间原则上不超过5 秒。</x:v>
      </x:c>
      <x:c r="F99" s="37" t="str">
        <x:v>待学校/现场</x:v>
      </x:c>
      <x:c r="G99" s="37" t="str">
        <x:v>沿用R9已有内部准备；本条仍需真实学校或现场条件，未擅自替代签认。</x:v>
      </x:c>
      <x:c r="H99" s="37" t="str">
        <x:v>R5原基线 + evidence/r6/test_summary.json（回归集合，不等于逐条功能验收）；evidence/r8/full-python.xml（整体回归）</x:v>
      </x:c>
      <x:c r="I99" s="37" t="str">
        <x:v>真实MySQL/镜像/代理、原生浏览器、学校代表样本和签认、外部接口按本条适用性继续完成。 学校等效HTTPS场景：普通页3秒、复杂页5秒、100并发、3000在线；尚未执行。</x:v>
      </x:c>
      <x:c r="J99" s="37" t="str">
        <x:v>未最终验收</x:v>
      </x:c>
    </x:row>
    <x:row r="100" ht="84" customHeight="1">
      <x:c r="A100" s="36" t="str">
        <x:v>13.8</x:v>
      </x:c>
      <x:c r="B100" s="37" t="n">
        <x:v>13</x:v>
      </x:c>
      <x:c r="C100" s="37" t="str">
        <x:v>安全保障与部署上线</x:v>
      </x:c>
      <x:c r="D100" s="37" t="str">
        <x:v>8</x:v>
      </x:c>
      <x:c r="E100" s="37" t="str">
        <x:v>系统可支持3000 人同时在线使用的，应满足不少于100 个并发用户正常访问的使用需求，在规定并发条件下主要业务功能应稳定可用。</x:v>
      </x:c>
      <x:c r="F100" s="37" t="str">
        <x:v>待学校/现场</x:v>
      </x:c>
      <x:c r="G100" s="37" t="str">
        <x:v>沿用R9已有内部准备；本条仍需真实学校或现场条件，未擅自替代签认。</x:v>
      </x:c>
      <x:c r="H100" s="37" t="str">
        <x:v>R5原基线 + evidence/r6/test_summary.json（回归集合，不等于逐条功能验收）；evidence/r8/full-python.xml（整体回归）</x:v>
      </x:c>
      <x:c r="I100" s="37" t="str">
        <x:v>真实MySQL/镜像/代理、原生浏览器、学校代表样本和签认、外部接口按本条适用性继续完成。 学校等效HTTPS场景：普通页3秒、复杂页5秒、100并发、3000在线；尚未执行。</x:v>
      </x:c>
      <x:c r="J100" s="37" t="str">
        <x:v>未最终验收</x:v>
      </x:c>
    </x:row>
    <x:row r="101" ht="84" customHeight="1">
      <x:c r="A101" s="36" t="str">
        <x:v>14.1</x:v>
      </x:c>
      <x:c r="B101" s="37" t="n">
        <x:v>14</x:v>
      </x:c>
      <x:c r="C101" s="37" t="str">
        <x:v>售后服务与运维保障</x:v>
      </x:c>
      <x:c r="D101" s="37" t="str">
        <x:v>8</x:v>
      </x:c>
      <x:c r="E101" s="37" t="str">
        <x:v>免费质保期不少于1 年，自项目最终验收合格之日起计算。</x:v>
      </x:c>
      <x:c r="F101" s="37" t="str">
        <x:v>待学校/现场</x:v>
      </x:c>
      <x:c r="G101" s="37" t="str">
        <x:v>沿用R9已有内部准备；本条仍需真实学校或现场条件，未擅自替代签认。</x:v>
      </x:c>
      <x:c r="H101" s="37" t="str">
        <x:v>R5原基线 + evidence/r6/test_summary.json（回归集合，不等于逐条功能验收）；evidence/r8/full-python.xml（整体回归）</x:v>
      </x:c>
      <x:c r="I101" s="37" t="str">
        <x:v>真实MySQL/镜像/代理、原生浏览器、学校代表样本和签认、外部接口按本条适用性继续完成。 真实培训/服务安排、合同履约与学校确认，代码不能代签。</x:v>
      </x:c>
      <x:c r="J101" s="37" t="str">
        <x:v>未最终验收</x:v>
      </x:c>
    </x:row>
    <x:row r="102" ht="84" customHeight="1">
      <x:c r="A102" s="36" t="str">
        <x:v>14.2</x:v>
      </x:c>
      <x:c r="B102" s="37" t="n">
        <x:v>14</x:v>
      </x:c>
      <x:c r="C102" s="37" t="str">
        <x:v>售后服务与运维保障</x:v>
      </x:c>
      <x:c r="D102" s="37" t="str">
        <x:v>8</x:v>
      </x:c>
      <x:c r="E102" s="37" t="str">
        <x:v>严重故障30 分钟内响应、2 小时内提供处置方案；一般功能故障2 小时内响应；普通咨询及配置问题1个工作日内响应。</x:v>
      </x:c>
      <x:c r="F102" s="37" t="str">
        <x:v>待学校/现场</x:v>
      </x:c>
      <x:c r="G102" s="37" t="str">
        <x:v>沿用R9已有内部准备；本条仍需真实学校或现场条件，未擅自替代签认。</x:v>
      </x:c>
      <x:c r="H102" s="37" t="str">
        <x:v>R5原基线 + evidence/r6/test_summary.json（回归集合，不等于逐条功能验收）；evidence/r8/full-python.xml（整体回归）</x:v>
      </x:c>
      <x:c r="I102" s="37" t="str">
        <x:v>真实MySQL/镜像/代理、原生浏览器、学校代表样本和签认、外部接口按本条适用性继续完成。 真实培训/服务安排、合同履约与学校确认，代码不能代签。</x:v>
      </x:c>
      <x:c r="J102" s="37" t="str">
        <x:v>未最终验收</x:v>
      </x:c>
    </x:row>
    <x:row r="103" ht="84" customHeight="1">
      <x:c r="A103" s="36" t="str">
        <x:v>14.3</x:v>
      </x:c>
      <x:c r="B103" s="37" t="n">
        <x:v>14</x:v>
      </x:c>
      <x:c r="C103" s="37" t="str">
        <x:v>售后服务与运维保障</x:v>
      </x:c>
      <x:c r="D103" s="37" t="str">
        <x:v>8</x:v>
      </x:c>
      <x:c r="E103" s="37" t="str">
        <x:v>质保期内，学校组织机构、考核规则、统计口径及已对接接口的合理小幅调整，供应商应免费提供配置、映射和适配支持；重大新增功能或新增系统接入另行确认。</x:v>
      </x:c>
      <x:c r="F103" s="37" t="str">
        <x:v>待学校/现场</x:v>
      </x:c>
      <x:c r="G103" s="37" t="str">
        <x:v>沿用R9已有内部准备；本条仍需真实学校或现场条件，未擅自替代签认。</x:v>
      </x:c>
      <x:c r="H103" s="37" t="str">
        <x:v>R5原基线 + evidence/r6/test_summary.json（回归集合，不等于逐条功能验收）；evidence/r8/full-python.xml（整体回归）</x:v>
      </x:c>
      <x:c r="I103" s="37" t="str">
        <x:v>真实MySQL/镜像/代理、原生浏览器、学校代表样本和签认、外部接口按本条适用性继续完成。 真实培训/服务安排、合同履约与学校确认，代码不能代签。</x:v>
      </x:c>
      <x:c r="J103" s="37" t="str">
        <x:v>未最终验收</x:v>
      </x:c>
    </x:row>
    <x:row r="104" ht="84" customHeight="1">
      <x:c r="A104" s="36" t="str">
        <x:v>14.4</x:v>
      </x:c>
      <x:c r="B104" s="37" t="n">
        <x:v>14</x:v>
      </x:c>
      <x:c r="C104" s="37" t="str">
        <x:v>售后服务与运维保障</x:v>
      </x:c>
      <x:c r="D104" s="37" t="str">
        <x:v>8</x:v>
      </x:c>
      <x:c r="E104" s="37" t="str">
        <x:v>质保期后年度运维服务费原则上不高于本项目合同金额的10%（不含重大新增功能开发及第三方商业软件新增授权费用）。</x:v>
      </x:c>
      <x:c r="F104" s="37" t="str">
        <x:v>待学校/现场</x:v>
      </x:c>
      <x:c r="G104" s="37" t="str">
        <x:v>沿用R9已有内部准备；本条仍需真实学校或现场条件，未擅自替代签认。</x:v>
      </x:c>
      <x:c r="H104" s="37" t="str">
        <x:v>R5原基线 + evidence/r6/test_summary.json（回归集合，不等于逐条功能验收）；evidence/r8/full-python.xml（整体回归）</x:v>
      </x:c>
      <x:c r="I104" s="37" t="str">
        <x:v>真实MySQL/镜像/代理、原生浏览器、学校代表样本和签认、外部接口按本条适用性继续完成。 真实培训/服务安排、合同履约与学校确认，代码不能代签。</x:v>
      </x:c>
      <x:c r="J104" s="37" t="str">
        <x:v>未最终验收</x:v>
      </x:c>
    </x:row>
    <x:row r="105" ht="84" customHeight="1">
      <x:c r="A105" s="36" t="str">
        <x:v>14.5</x:v>
      </x:c>
      <x:c r="B105" s="37" t="n">
        <x:v>14</x:v>
      </x:c>
      <x:c r="C105" s="37" t="str">
        <x:v>售后服务与运维保障</x:v>
      </x:c>
      <x:c r="D105" s="37" t="str">
        <x:v>8</x:v>
      </x:c>
      <x:c r="E105" s="37" t="str">
        <x:v>学校业务数据、数据字典、字段映射、数据库结构、接口文档及学校专属业务配置归采购人所有；本项目定制开发形成的源代码应交付采购人或纳入采购人可控制的代码托管机制。</x:v>
      </x:c>
      <x:c r="F105" s="37" t="str">
        <x:v>沿用R9，未逐条重验</x:v>
      </x:c>
      <x:c r="G105" s="37" t="str">
        <x:v>沿用R9已交付能力；全套回归通过不等于本条每个细项重新验收。</x:v>
      </x:c>
      <x:c r="H105" s="37" t="str">
        <x:v>evidence/r9/full-python.xml（前轮）；evidence/r10/full-python.xml（整体回归）</x:v>
      </x:c>
      <x:c r="I105" s="37" t="str">
        <x:v>真实MySQL/镜像/代理、原生浏览器、学校代表样本和签认、外部接口按本条适用性继续完成。</x:v>
      </x:c>
      <x:c r="J105" s="37" t="str">
        <x:v>未最终验收</x:v>
      </x:c>
    </x:row>
    <x:row r="106" ht="84" customHeight="1">
      <x:c r="A106" s="36" t="str">
        <x:v>14.6</x:v>
      </x:c>
      <x:c r="B106" s="37" t="n">
        <x:v>14</x:v>
      </x:c>
      <x:c r="C106" s="37" t="str">
        <x:v>售后服务与运维保障</x:v>
      </x:c>
      <x:c r="D106" s="37" t="str">
        <x:v>9</x:v>
      </x:c>
      <x:c r="E106" s="37" t="str">
        <x:v>系统应支持完整、结构化、可复用的数据导出；合同终止或更换供应商时，应配合完成数据、数据库结构、接口文档、部署配置及规则配置等资料移交，不得以专有格式、加密字段或封闭接口限制数据迁移。</x:v>
      </x:c>
      <x:c r="F106" s="37" t="str">
        <x:v>R10内部定向控制</x:v>
      </x:c>
      <x:c r="G106" s="37" t="str">
        <x:v>开放移交同样拒绝组织归档与正式结果不一致；不输出成功移交回执。</x:v>
      </x:c>
      <x:c r="H106" s="37" t="str">
        <x:v>tests/r2/test_r10_org_evidence.py</x:v>
      </x:c>
      <x:c r="I106" s="37" t="str">
        <x:v>内部控制不等于条款终验；真实MySQL/浏览器/学校条件按本条适用性继续验证。</x:v>
      </x:c>
      <x:c r="J106" s="37" t="str">
        <x:v>未最终验收</x:v>
      </x:c>
    </x:row>
    <x:row r="107" ht="84" customHeight="1">
      <x:c r="A107" s="36" t="str">
        <x:v>14.7</x:v>
      </x:c>
      <x:c r="B107" s="37" t="n">
        <x:v>14</x:v>
      </x:c>
      <x:c r="C107" s="37" t="str">
        <x:v>售后服务与运维保障</x:v>
      </x:c>
      <x:c r="D107" s="37" t="str">
        <x:v>9</x:v>
      </x:c>
      <x:c r="E107" s="37" t="str">
        <x:v>提供管理员和经办人员培训，并提供用户操作手册及必要的运维说明。</x:v>
      </x:c>
      <x:c r="F107" s="37" t="str">
        <x:v>待学校/现场</x:v>
      </x:c>
      <x:c r="G107" s="37" t="str">
        <x:v>沿用R9已有内部准备；本条仍需真实学校或现场条件，未擅自替代签认。</x:v>
      </x:c>
      <x:c r="H107" s="37" t="str">
        <x:v>R5原基线 + evidence/r6/test_summary.json（回归集合，不等于逐条功能验收）；evidence/r8/full-python.xml（整体回归）</x:v>
      </x:c>
      <x:c r="I107" s="37" t="str">
        <x:v>真实MySQL/镜像/代理、原生浏览器、学校代表样本和签认、外部接口按本条适用性继续完成。 真实培训/服务安排、合同履约与学校确认，代码不能代签。</x:v>
      </x:c>
      <x:c r="J107" s="37" t="str">
        <x:v>未最终验收</x:v>
      </x:c>
    </x:row>
  </x:sheetData>
  <x:mergeCells>
    <x:mergeCell ref="A1:J2"/>
    <x:mergeCell ref="A3:J3"/>
  </x:mergeCells>
  <x:conditionalFormatting sqref="F7:F107">
    <x:cfRule type="expression" dxfId="6" priority="1">
      <x:formula>F7="R10内部定向控制"</x:formula>
    </x:cfRule>
    <x:cfRule type="expression" dxfId="7" priority="2">
      <x:formula>F7="待学校/现场"</x:formula>
    </x:cfRule>
  </x:conditionalFormatting>
  <x:dataValidations count="1">
    <x:dataValidation type="list" sqref="F7:F107">
      <x:formula1>"R9内部定向控制,沿用R8，未逐条重验,待学校/现场"</x:formula1>
    </x:dataValidation>
  </x:dataValidations>
  <x:pageMargins left="0.7" right="0.7" top="0.75" bottom="0.75" header="0.3" footer="0.3"/>
  <x:tableParts count="1">
    <x:tablePart xmlns:r="http://schemas.openxmlformats.org/officeDocument/2006/relationships" r:id="R0d4e9e5c821345e5"/>
  </x:tableParts>
</x:worksheet>
</file>

<file path=xl/worksheets/sheet3.xml><?xml version="1.0" encoding="utf-8"?>
<x:worksheet xmlns:x="http://schemas.openxmlformats.org/spreadsheetml/2006/main">
  <x:sheetFormatPr defaultRowHeight="15"/>
  <x:cols>
    <x:col min="1" max="1" width="28" hidden="0" customWidth="1"/>
    <x:col min="2" max="2" width="12" hidden="0" customWidth="1"/>
    <x:col min="3" max="3" width="10" hidden="0" customWidth="1"/>
    <x:col min="4" max="4" width="10" hidden="0" customWidth="1"/>
    <x:col min="5" max="5" width="22" hidden="0" customWidth="1"/>
    <x:col min="6" max="6" width="60" hidden="0" customWidth="1"/>
  </x:cols>
  <x:sheetData>
    <x:row r="1" ht="30" customHeight="1">
      <x:c r="A1" s="29" t="str">
        <x:v>R10 验证证据｜修复前复现与最终通过分开留档</x:v>
      </x:c>
      <x:c r="B1" s="29"/>
      <x:c r="C1" s="29"/>
      <x:c r="D1" s="29"/>
      <x:c r="E1" s="29"/>
      <x:c r="F1" s="29"/>
    </x:row>
    <x:row r="2" ht="30" customHeight="1">
      <x:c r="A2" s="29"/>
      <x:c r="B2" s="29"/>
      <x:c r="C2" s="29"/>
      <x:c r="D2" s="29"/>
      <x:c r="E2" s="29"/>
      <x:c r="F2" s="29"/>
    </x:row>
    <x:row r="3" ht="38" customHeight="1">
      <x:c r="A3" s="30" t="str">
        <x:v>完整回归562项，其中新增36项；56项Node为合同/VM测试。HTTPS是SQLite合成空校，不冒充真实MySQL或浏览器验收。</x:v>
      </x:c>
      <x:c r="B3" s="30"/>
      <x:c r="C3" s="30"/>
      <x:c r="D3" s="30"/>
      <x:c r="E3" s="30"/>
      <x:c r="F3" s="30"/>
    </x:row>
    <x:row r="4">
      <x:c r="A4" s="33"/>
      <x:c r="B4" s="33"/>
      <x:c r="C4" s="33"/>
      <x:c r="D4" s="33"/>
      <x:c r="E4" s="33"/>
      <x:c r="F4" s="33"/>
    </x:row>
    <x:row r="5">
      <x:c r="A5" s="33"/>
      <x:c r="B5" s="33"/>
      <x:c r="C5" s="33"/>
      <x:c r="D5" s="33"/>
      <x:c r="E5" s="33"/>
      <x:c r="F5" s="33"/>
    </x:row>
    <x:row r="6" ht="30" customHeight="1">
      <x:c r="A6" s="29" t="str">
        <x:v>证据组</x:v>
      </x:c>
      <x:c r="B6" s="29" t="str">
        <x:v>数量</x:v>
      </x:c>
      <x:c r="C6" s="29" t="str">
        <x:v>失败</x:v>
      </x:c>
      <x:c r="D6" s="29" t="str">
        <x:v>跳过</x:v>
      </x:c>
      <x:c r="E6" s="29" t="str">
        <x:v>结果</x:v>
      </x:c>
      <x:c r="F6" s="29" t="str">
        <x:v>可复核文件／边界</x:v>
      </x:c>
    </x:row>
    <x:row r="7" ht="42" customHeight="1">
      <x:c r="A7" s="34" t="str">
        <x:v>R9输入基线回归</x:v>
      </x:c>
      <x:c r="B7" s="34" t="n">
        <x:v>526</x:v>
      </x:c>
      <x:c r="C7" s="34" t="n">
        <x:v>0</x:v>
      </x:c>
      <x:c r="D7" s="34" t="n">
        <x:v>0</x:v>
      </x:c>
      <x:c r="E7" s="34" t="str">
        <x:v>PASS</x:v>
      </x:c>
      <x:c r="F7" s="34" t="str">
        <x:v>evidence/r10/input_baseline/full-python.xml；未修改R9实跑</x:v>
      </x:c>
    </x:row>
    <x:row r="8" ht="42" customHeight="1">
      <x:c r="A8" s="34" t="str">
        <x:v>R10完整Python回归</x:v>
      </x:c>
      <x:c r="B8" s="34" t="n">
        <x:v>562</x:v>
      </x:c>
      <x:c r="C8" s="34" t="n">
        <x:v>0</x:v>
      </x:c>
      <x:c r="D8" s="34" t="n">
        <x:v>0</x:v>
      </x:c>
      <x:c r="E8" s="34" t="str">
        <x:v>PASS</x:v>
      </x:c>
      <x:c r="F8" s="34" t="str">
        <x:v>evidence/r10/full-python.xml；最终回归，不含修复前失败日志</x:v>
      </x:c>
    </x:row>
    <x:row r="9" ht="42" customHeight="1">
      <x:c r="A9" s="34" t="str">
        <x:v>其中R10新增回归</x:v>
      </x:c>
      <x:c r="B9" s="34" t="n">
        <x:f>B8-B7</x:f>
        <x:v>36</x:v>
      </x:c>
      <x:c r="C9" s="34" t="n">
        <x:v>0</x:v>
      </x:c>
      <x:c r="D9" s="34" t="n">
        <x:v>0</x:v>
      </x:c>
      <x:c r="E9" s="34" t="str">
        <x:v>PASS</x:v>
      </x:c>
      <x:c r="F9" s="34" t="str">
        <x:v>15项导入授权＋21项组织证据；已包含在562项，不能重复相加</x:v>
      </x:c>
    </x:row>
    <x:row r="10" ht="42" customHeight="1">
      <x:c r="A10" s="34" t="str">
        <x:v>Node前端合同/VM测试</x:v>
      </x:c>
      <x:c r="B10" s="34" t="n">
        <x:v>56</x:v>
      </x:c>
      <x:c r="C10" s="34" t="n">
        <x:v>0</x:v>
      </x:c>
      <x:c r="D10" s="34" t="n">
        <x:v>0</x:v>
      </x:c>
      <x:c r="E10" s="34" t="str">
        <x:v>PASS</x:v>
      </x:c>
      <x:c r="F10" s="34" t="str">
        <x:v>evidence/r10/node.log；新增9项；非原生浏览器</x:v>
      </x:c>
    </x:row>
    <x:row r="11" ht="42" customHeight="1">
      <x:c r="A11" s="34" t="str">
        <x:v>新空校HTTPS请求</x:v>
      </x:c>
      <x:c r="B11" s="34" t="n">
        <x:v>87</x:v>
      </x:c>
      <x:c r="C11" s="34" t="n">
        <x:v>0</x:v>
      </x:c>
      <x:c r="D11" s="34" t="n">
        <x:v>0</x:v>
      </x:c>
      <x:c r="E11" s="34" t="str">
        <x:v>PASS</x:v>
      </x:c>
      <x:c r="F11" s="34" t="str">
        <x:v>evidence/r10/https_control/business_http.json；6组；本地临时证书</x:v>
      </x:c>
    </x:row>
    <x:row r="12" ht="42" customHeight="1">
      <x:c r="A12" s="34" t="str">
        <x:v>API静态路由</x:v>
      </x:c>
      <x:c r="B12" s="34" t="n">
        <x:v>121</x:v>
      </x:c>
      <x:c r="C12" s="34" t="n">
        <x:v>0</x:v>
      </x:c>
      <x:c r="D12" s="34" t="n">
        <x:v>0</x:v>
      </x:c>
      <x:c r="E12" s="34" t="str">
        <x:v>PASS</x:v>
      </x:c>
      <x:c r="F12" s="34" t="str">
        <x:v>evidence/r10/route_security.json；不是所有安全风险已排除</x:v>
      </x:c>
    </x:row>
    <x:row r="13" ht="42" customHeight="1">
      <x:c r="A13" s="34" t="str">
        <x:v>冻结/历史保护文件</x:v>
      </x:c>
      <x:c r="B13" s="34" t="n">
        <x:v>6</x:v>
      </x:c>
      <x:c r="C13" s="34" t="n">
        <x:v>0</x:v>
      </x:c>
      <x:c r="D13" s="34" t="n">
        <x:v>0</x:v>
      </x:c>
      <x:c r="E13" s="34" t="str">
        <x:v>原字节保留</x:v>
      </x:c>
      <x:c r="F13" s="34" t="str">
        <x:v>evidence/r10/preservation.json；未改数据库结构与历史迁移</x:v>
      </x:c>
    </x:row>
    <x:row r="14" ht="42" customHeight="1">
      <x:c r="A14" s="34" t="str">
        <x:v>真实MySQL</x:v>
      </x:c>
      <x:c r="B14" s="34" t="n">
        <x:v>0</x:v>
      </x:c>
      <x:c r="C14" s="34"/>
      <x:c r="D14" s="34"/>
      <x:c r="E14" s="34" t="str">
        <x:v>BLOCKED</x:v>
      </x:c>
      <x:c r="F14" s="34" t="str">
        <x:v>evidence/r10/mysql/mysql_acceptance.json；无Docker及本地验收镜像</x:v>
      </x:c>
    </x:row>
    <x:row r="15" ht="42" customHeight="1">
      <x:c r="A15" s="34" t="str">
        <x:v>原生浏览器业务</x:v>
      </x:c>
      <x:c r="B15" s="34" t="n">
        <x:v>0</x:v>
      </x:c>
      <x:c r="C15" s="34"/>
      <x:c r="D15" s="34"/>
      <x:c r="E15" s="34" t="str">
        <x:v>BLOCKED</x:v>
      </x:c>
      <x:c r="F15" s="34" t="str">
        <x:v>evidence/r10/https_control/browser_probe.json；正常导航被管理员策略阻断</x:v>
      </x:c>
    </x:row>
    <x:row r="16" ht="42" customHeight="1">
      <x:c r="A16" s="34" t="str">
        <x:v>学校HTTPS性能</x:v>
      </x:c>
      <x:c r="B16" s="34" t="n">
        <x:v>0</x:v>
      </x:c>
      <x:c r="C16" s="34"/>
      <x:c r="D16" s="34"/>
      <x:c r="E16" s="34" t="str">
        <x:v>未执行</x:v>
      </x:c>
      <x:c r="F16" s="34" t="str">
        <x:v>未运行100并发或3000在线；87次顺序请求不是性能验收</x:v>
      </x:c>
    </x:row>
    <x:row r="17" ht="42" customHeight="1">
      <x:c r="A17" s="34" t="str">
        <x:v>学校真实样本/接口</x:v>
      </x:c>
      <x:c r="B17" s="34" t="n">
        <x:v>0</x:v>
      </x:c>
      <x:c r="C17" s="34"/>
      <x:c r="D17" s="34"/>
      <x:c r="E17" s="34" t="str">
        <x:v>待学校</x:v>
      </x:c>
      <x:c r="F17" s="34" t="str">
        <x:v>真实双轨签认、SSO/中台/湘培联调仍待</x:v>
      </x:c>
    </x:row>
    <x:row r="18" ht="42" customHeight="1">
      <x:c r="A18" s="34" t="str">
        <x:v>正式上线审批</x:v>
      </x:c>
      <x:c r="B18" s="34" t="n">
        <x:v>0</x:v>
      </x:c>
      <x:c r="C18" s="34"/>
      <x:c r="D18" s="34"/>
      <x:c r="E18" s="34" t="str">
        <x:v>BLOCKED</x:v>
      </x:c>
      <x:c r="F18" s="34" t="str">
        <x:v>evidence/r10/release_gate.json；未放松上线条件</x:v>
      </x:c>
    </x:row>
    <x:row r="19" ht="44" customHeight="1">
      <x:c r="A19" s="34"/>
      <x:c r="B19" s="34"/>
      <x:c r="C19" s="34"/>
      <x:c r="D19" s="34"/>
      <x:c r="E19" s="34"/>
      <x:c r="F19" s="34"/>
    </x:row>
    <x:row r="20" ht="44" customHeight="1">
      <x:c r="A20" s="34"/>
      <x:c r="B20" s="34"/>
      <x:c r="C20" s="34"/>
      <x:c r="D20" s="34"/>
      <x:c r="E20" s="34"/>
      <x:c r="F20" s="34"/>
    </x:row>
    <x:row r="21">
      <x:c r="A21" s="33"/>
      <x:c r="B21" s="33"/>
      <x:c r="C21" s="33"/>
      <x:c r="D21" s="33"/>
      <x:c r="E21" s="33"/>
      <x:c r="F21" s="33"/>
    </x:row>
    <x:row r="22" ht="30" customHeight="1">
      <x:c r="A22" s="31"/>
      <x:c r="B22" s="31"/>
      <x:c r="C22" s="31"/>
      <x:c r="D22" s="31"/>
      <x:c r="E22" s="31"/>
      <x:c r="F22" s="31"/>
    </x:row>
  </x:sheetData>
  <x:mergeCells>
    <x:mergeCell ref="A1:F2"/>
    <x:mergeCell ref="A3:F3"/>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40" hidden="0" customWidth="1"/>
    <x:col min="3" max="3" width="42" hidden="0" customWidth="1"/>
    <x:col min="4" max="4" width="55" hidden="0" customWidth="1"/>
  </x:cols>
  <x:sheetData>
    <x:row r="1">
      <x:c r="A1" s="39" t="str">
        <x:v>R10｜官方依据与采购边界</x:v>
      </x:c>
      <x:c r="B1" s="39"/>
      <x:c r="C1" s="39"/>
      <x:c r="D1" s="39"/>
    </x:row>
    <x:row r="2">
      <x:c r="A2" s="39"/>
      <x:c r="B2" s="39"/>
      <x:c r="C2" s="39"/>
      <x:c r="D2" s="39"/>
    </x:row>
    <x:row r="3">
      <x:c r="A3" s="20"/>
      <x:c r="B3" s="20"/>
      <x:c r="C3" s="20"/>
      <x:c r="D3" s="20"/>
    </x:row>
    <x:row r="4" ht="30" customHeight="1">
      <x:c r="A4" s="40" t="str">
        <x:v>官方来源</x:v>
      </x:c>
      <x:c r="B4" s="40" t="str">
        <x:v>核实的技术行为</x:v>
      </x:c>
      <x:c r="C4" s="40" t="str">
        <x:v>本轮采用／边界</x:v>
      </x:c>
      <x:c r="D4" s="40" t="str">
        <x:v>来源网址</x:v>
      </x:c>
    </x:row>
    <x:row r="5" ht="72" customHeight="1">
      <x:c r="A5" s="20" t="str">
        <x:v>OWASP · Authorization</x:v>
      </x:c>
      <x:c r="B5" s="20" t="str">
        <x:v>默认拒绝；每次请求都应核验授权，不仅在登录时检查。</x:v>
      </x:c>
      <x:c r="C5" s="20" t="str">
        <x:v>导入预览、错误文件、回执、确认均重查当前权限；原授权记录不授予永久访问。</x:v>
      </x:c>
      <x:c r="D5" s="20" t="str">
        <x:v>https://cheatsheetseries.owasp.org/cheatsheets/Authorization_Cheat_Sheet.html</x:v>
      </x:c>
    </x:row>
    <x:row r="6" ht="72" customHeight="1">
      <x:c r="A6" s="20" t="str">
        <x:v>MySQL 8.4 · Consistent Reads</x:v>
      </x:c>
      <x:c r="B6" s="20" t="str">
        <x:v>READ COMMITTED每次一致性读取使用新快照；REPEATABLE READ同一事务通常复用快照。</x:v>
      </x:c>
      <x:c r="C6" s="20" t="str">
        <x:v>沿用移交专用一致性读取事务；没有把SQLite测试写成InnoDB并发证明。</x:v>
      </x:c>
      <x:c r="D6" s="20" t="str">
        <x:v>https://dev.mysql.com/doc/refman/8.4/en/innodb-consistent-read.html</x:v>
      </x:c>
    </x:row>
    <x:row r="7" ht="72" customHeight="1">
      <x:c r="A7" s="20" t="str">
        <x:v>原采购PDF · 10.2/10.5/10.7</x:v>
      </x:c>
      <x:c r="B7" s="20" t="str">
        <x:v>可追溯取数、冻结历史结果、排名与导出打印。</x:v>
      </x:c>
      <x:c r="C7" s="20" t="str">
        <x:v>组织归档绑定身份/规则/逐指标依据；冻结历史展示；真实样本签认与浏览器打印未完成。</x:v>
      </x:c>
      <x:c r="D7" s="20" t="str">
        <x:v>acceptance/79a6e12c-5e54-4a9a-9d54-7dc1afb72ee3.pdf（第6页）</x:v>
      </x:c>
    </x:row>
    <x:row r="8" ht="72" customHeight="1">
      <x:c r="A8" s="20" t="str">
        <x:v>原采购PDF · 2.3/2.8/12.5/14.6</x:v>
      </x:c>
      <x:c r="B8" s="20" t="str">
        <x:v>当前组织权限、附件访问、结构化开放移交。</x:v>
      </x:c>
      <x:c r="C8" s="20" t="str">
        <x:v>只修复已验证的内部子项；未扩张授权、未补造历史、未宣称采购终验通过。</x:v>
      </x:c>
      <x:c r="D8" s="20" t="str">
        <x:v>acceptance/79a6e12c-5e54-4a9a-9d54-7dc1afb72ee3.pdf（第1、2、7、9页）</x:v>
      </x:c>
    </x:row>
  </x:sheetData>
  <x:mergeCells>
    <x:mergeCell ref="A1:D2"/>
  </x:mergeCells>
  <x:pageMargins left="0.7" right="0.7" top="0.75" bottom="0.75" header="0.3" footer="0.3"/>
</x:worksheet>
</file>